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cuments\Curso Excel Santander 2026\"/>
    </mc:Choice>
  </mc:AlternateContent>
  <xr:revisionPtr revIDLastSave="0" documentId="13_ncr:1_{3375A9DE-A365-4A74-9622-650CA677C8CB}" xr6:coauthVersionLast="47" xr6:coauthVersionMax="47" xr10:uidLastSave="{00000000-0000-0000-0000-000000000000}"/>
  <bookViews>
    <workbookView xWindow="-120" yWindow="-120" windowWidth="20730" windowHeight="110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5" i="3" l="1"/>
  <c r="E24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<sst xmlns="http://schemas.openxmlformats.org/spreadsheetml/2006/main" count="2022" uniqueCount="324">
  <si>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</si>
  <si>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</si>
  <si>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</si>
  <si>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</si>
  <si>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</si>
  <si>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</si>
  <si>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</si>
  <si>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</si>
  <si>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</si>
  <si>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</si>
  <si>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</si>
  <si>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</si>
  <si>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</si>
  <si>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</si>
  <si>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</si>
  <si>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</si>
  <si>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</si>
  <si>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</si>
  <si>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</si>
  <si>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</si>
  <si>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</si>
  <si>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</si>
  <si>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</si>
  <si>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</si>
  <si>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</si>
  <si>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</si>
  <si>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</si>
  <si>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</si>
  <si>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</si>
  <si>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</si>
  <si>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</si>
  <si>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</si>
  <si>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</si>
  <si>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</si>
  <si>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</si>
  <si>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</si>
  <si>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</si>
  <si>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</si>
  <si>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</si>
  <si>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</si>
  <si>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</si>
  <si>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</si>
  <si>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</si>
  <si>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</si>
  <si>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</si>
  <si>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</si>
  <si>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</si>
  <si>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</si>
  <si>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</si>
  <si>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</si>
  <si>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</si>
  <si>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</si>
  <si>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</si>
  <si>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</si>
  <si>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</si>
  <si>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</si>
  <si>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</si>
  <si>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</si>
  <si>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</si>
  <si>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</si>
  <si>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</si>
  <si>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</si>
  <si>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</si>
  <si>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</si>
  <si>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</si>
  <si>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</si>
  <si>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</si>
  <si>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</si>
  <si>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</si>
  <si>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</si>
  <si>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</si>
  <si>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</si>
  <si>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</si>
  <si>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</si>
  <si>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</si>
  <si>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</si>
  <si>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</si>
  <si>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</si>
  <si>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</si>
  <si>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</si>
  <si>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</si>
  <si>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</si>
  <si>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</si>
  <si>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</si>
  <si>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</si>
  <si>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</si>
  <si>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</si>
  <si>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</si>
  <si>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</si>
  <si>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</si>
  <si>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</si>
  <si>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</si>
  <si>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</si>
  <si>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</si>
  <si>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</si>
  <si>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</si>
  <si>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</si>
  <si>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</si>
  <si>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</si>
  <si>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</si>
  <si>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</si>
  <si>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</si>
  <si>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</si>
  <si>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</si>
  <si>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</si>
  <si>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</si>
  <si>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</si>
  <si>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</si>
  <si>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</si>
  <si>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</si>
  <si>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</si>
  <si>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</si>
  <si>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</si>
  <si>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</si>
  <si>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</si>
  <si>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</si>
  <si>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</si>
  <si>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</si>
  <si>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</si>
  <si>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</si>
  <si>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</si>
  <si>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</si>
  <si>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</si>
  <si>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</si>
  <si>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</si>
  <si>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</si>
  <si>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</si>
  <si>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</si>
  <si>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</si>
  <si>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</si>
  <si>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</si>
  <si>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</si>
  <si>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</si>
  <si>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</si>
  <si>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</si>
  <si>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</si>
  <si>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</si>
  <si>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</si>
  <si>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</si>
  <si>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</si>
  <si>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</si>
  <si>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</si>
  <si>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</si>
  <si>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</si>
  <si>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</si>
  <si>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</si>
  <si>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</si>
  <si>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</si>
  <si>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</si>
  <si>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</si>
  <si>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</si>
  <si>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</si>
  <si>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</si>
  <si>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</si>
  <si>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</si>
  <si>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</si>
  <si>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</si>
  <si>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</si>
  <si>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</si>
  <si>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</si>
  <si>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</si>
  <si>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</si>
  <si>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</si>
  <si>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</si>
  <si>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</si>
  <si>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</si>
  <si>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</si>
  <si>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</si>
  <si>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</si>
  <si>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</si>
  <si>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</si>
  <si>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</si>
  <si>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</si>
  <si>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</si>
  <si>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</si>
  <si>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</si>
  <si>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</si>
  <si>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</si>
  <si>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</si>
  <si>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</si>
  <si>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</si>
  <si>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</si>
  <si>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</si>
  <si>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</si>
  <si>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</si>
  <si>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</si>
  <si>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</si>
  <si>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</si>
  <si>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</si>
  <si>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</si>
  <si>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</si>
  <si>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</si>
  <si>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</si>
  <si>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</si>
  <si>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</si>
  <si>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</si>
  <si>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</si>
  <si>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</si>
  <si>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</si>
  <si>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</si>
  <si>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</si>
  <si>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</si>
  <si>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</si>
  <si>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</si>
  <si>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</si>
  <si>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</si>
  <si>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</si>
  <si>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</si>
  <si>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</si>
  <si>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</si>
  <si>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</si>
  <si>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</si>
  <si>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</si>
  <si>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</si>
  <si>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</si>
  <si>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</si>
  <si>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</si>
  <si>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</si>
  <si>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</si>
  <si>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</si>
  <si>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</si>
  <si>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</si>
  <si>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</si>
  <si>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</si>
  <si>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</si>
  <si>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</si>
  <si>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</si>
  <si>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</si>
  <si>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</si>
  <si>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</si>
  <si>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</si>
  <si>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</si>
  <si>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</si>
  <si>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</si>
  <si>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</si>
  <si>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</si>
  <si>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</si>
  <si>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</si>
  <si>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</si>
  <si>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</si>
  <si>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</si>
  <si>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</si>
  <si>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</si>
  <si>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</si>
  <si>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</si>
  <si>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</si>
  <si>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</si>
  <si>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</si>
  <si>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</si>
  <si>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</si>
  <si>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</si>
  <si>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</si>
  <si>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</si>
  <si>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</si>
  <si>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</si>
  <si>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</si>
  <si>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</si>
  <si>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</si>
  <si>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</si>
  <si>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</si>
  <si>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</si>
  <si>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</si>
  <si>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</si>
  <si>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</si>
  <si>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</si>
  <si>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</si>
  <si>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</si>
  <si>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</si>
  <si>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</si>
  <si>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</si>
  <si>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</si>
  <si>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</si>
  <si>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</si>
  <si>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</si>
  <si>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</si>
  <si>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</si>
  <si>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</si>
  <si>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</si>
  <si>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</si>
  <si>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</si>
  <si>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</si>
  <si>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</si>
  <si>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</si>
  <si>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</si>
  <si>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</si>
  <si>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</si>
  <si>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</si>
  <si>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</si>
  <si>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</si>
  <si>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</si>
  <si>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</si>
  <si>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</si>
  <si>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</si>
  <si>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</si>
  <si>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</si>
  <si>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</si>
  <si>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</si>
  <si>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</si>
  <si>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</si>
  <si>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</si>
  <si>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</si>
  <si>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</si>
  <si>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</si>
  <si>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</si>
  <si>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</si>
  <si>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</si>
  <si>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</si>
  <si>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</si>
  <si>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</si>
  <si>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</si>
  <si>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</si>
  <si>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</si>
  <si>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</si>
  <si>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negocio respondida através de uma analise de dados respondida</t>
  </si>
  <si>
    <t>Soma de Total Value</t>
  </si>
  <si>
    <t>Rótulos de Linha</t>
  </si>
  <si>
    <t>Total Geral</t>
  </si>
  <si>
    <t>Pergunta de negócio 1 - Qual faturamento Total de vendas de planos anuais (contendo todas as assinaturas agregadas)</t>
  </si>
  <si>
    <t>Pergunta de negócio 2 - Qual faturamento Total de vendas de planos anuais, separado por auto renovação ou não é por autorenovação</t>
  </si>
  <si>
    <t>XBOX GAMES PASS SUBSCRIPTIONS SALES</t>
  </si>
  <si>
    <t>Pergunta de negócio 3 - Total de Vendas de Assinaturas do EA Play</t>
  </si>
  <si>
    <t>Soma de EA Play Season Pass</t>
  </si>
  <si>
    <t>Pergunta de negócio 4 -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</si>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</sst>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9BC84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2" xfId="1" applyBorder="1"/>
    <xf numFmtId="0" fontId="0" fillId="0" borderId="0" xfId="0" applyNumberFormat="1"/>
    <xf numFmtId="44" fontId="0" fillId="0" borderId="0" xfId="2" applyFont="1"/>
    <xf numFmtId="0" fontId="4" fillId="0" borderId="2" xfId="1" applyFont="1" applyBorder="1" applyAlignment="1">
      <alignment horizontal="left" indent="5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68172D34-2088-45F0-9EA3-D8F1F270A5BC}">
      <tableStyleElement type="wholeTable" dxfId="1"/>
      <tableStyleElement type="headerRow" dxfId="0"/>
    </tableStyle>
  </tableStyles>
  <colors>
    <mruColors>
      <color rgb="FF22C55E"/>
      <color rgb="FF9BC848"/>
      <color rgb="FF5BF6A8"/>
      <color rgb="FF2AE6B1"/>
      <color rgb="FFE8E6E9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[12. Criando um Dashboard de Vendas do Xbox com Excel - planilha base - RESOLVIDA.xlsx]C̳álculos!tbl_annual_total</c:name>
    <c:fmtId val="4"/>
  </c:pivotSource>
  <c:chart>
    <c:autoTitleDeleted val="1"/>
    <c:pivotFmts>
      <c:pivotFmt>
        <c:idx val="0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2568287674955655E-2"/>
          <c:y val="0.1487092446777486"/>
          <c:w val="0.88921782791356452"/>
          <c:h val="0.743406030581878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8FD-4F17-9FE6-60A473FF79C2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8FD-4F17-9FE6-60A473FF79C2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FD-4F17-9FE6-60A473FF79C2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FD-4F17-9FE6-60A473FF79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FD-4F17-9FE6-60A473FF7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0139647"/>
        <c:axId val="1534031535"/>
      </c:barChart>
      <c:catAx>
        <c:axId val="1980139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4031535"/>
        <c:crosses val="autoZero"/>
        <c:auto val="1"/>
        <c:lblAlgn val="ctr"/>
        <c:lblOffset val="100"/>
        <c:noMultiLvlLbl val="0"/>
      </c:catAx>
      <c:valAx>
        <c:axId val="153403153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80139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114300</xdr:colOff>
      <xdr:row>0</xdr:row>
      <xdr:rowOff>162080</xdr:rowOff>
    </xdr:from>
    <xdr:to>
      <xdr:col>2</xdr:col>
      <xdr:colOff>419100</xdr:colOff>
      <xdr:row>3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3F27E64-455F-481A-9168-50BB2B6546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23295" r="71947" b="23127"/>
        <a:stretch>
          <a:fillRect/>
        </a:stretch>
      </xdr:blipFill>
      <xdr:spPr>
        <a:xfrm>
          <a:off x="2009775" y="162080"/>
          <a:ext cx="542925" cy="495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214314</xdr:rowOff>
    </xdr:from>
    <xdr:to>
      <xdr:col>1</xdr:col>
      <xdr:colOff>0</xdr:colOff>
      <xdr:row>13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7B35FD87-E0E5-4D0F-BE07-19792AD71C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28739"/>
              <a:ext cx="1895475" cy="12906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167273</xdr:colOff>
      <xdr:row>7</xdr:row>
      <xdr:rowOff>47624</xdr:rowOff>
    </xdr:from>
    <xdr:to>
      <xdr:col>17</xdr:col>
      <xdr:colOff>22148</xdr:colOff>
      <xdr:row>10</xdr:row>
      <xdr:rowOff>154928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67BB292C-0945-8700-477A-F9659386F293}"/>
            </a:ext>
          </a:extLst>
        </xdr:cNvPr>
        <xdr:cNvGrpSpPr/>
      </xdr:nvGrpSpPr>
      <xdr:grpSpPr>
        <a:xfrm>
          <a:off x="2062748" y="1162049"/>
          <a:ext cx="9065550" cy="907404"/>
          <a:chOff x="2053223" y="695324"/>
          <a:chExt cx="9065550" cy="907404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2E7F062F-A2ED-546B-AC85-5CE3AB78790A}"/>
              </a:ext>
            </a:extLst>
          </xdr:cNvPr>
          <xdr:cNvSpPr/>
        </xdr:nvSpPr>
        <xdr:spPr>
          <a:xfrm>
            <a:off x="2062161" y="695326"/>
            <a:ext cx="4267201" cy="799983"/>
          </a:xfrm>
          <a:prstGeom prst="roundRect">
            <a:avLst>
              <a:gd name="adj" fmla="val 1592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4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02DB9521-F7B8-4AF3-95CB-B3AE1C6BF58D}"/>
              </a:ext>
            </a:extLst>
          </xdr:cNvPr>
          <xdr:cNvSpPr/>
        </xdr:nvSpPr>
        <xdr:spPr>
          <a:xfrm>
            <a:off x="3378996" y="971507"/>
            <a:ext cx="2655091" cy="53218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67D5338-38F7-4CCC-BE5C-4114D3438611}" type="TxLink">
              <a:rPr lang="en-US" sz="2000" b="1" i="0" u="none" strike="noStrike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2000" b="1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F308515E-6D2C-40D7-9187-3FA2847236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81898" y="874999"/>
            <a:ext cx="612000" cy="727729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D7AC20EB-E6B3-63A8-B0CF-843972D3861C}"/>
              </a:ext>
            </a:extLst>
          </xdr:cNvPr>
          <xdr:cNvSpPr/>
        </xdr:nvSpPr>
        <xdr:spPr>
          <a:xfrm>
            <a:off x="2053223" y="695325"/>
            <a:ext cx="4267200" cy="308882"/>
          </a:xfrm>
          <a:prstGeom prst="round2SameRect">
            <a:avLst>
              <a:gd name="adj1" fmla="val 32603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ABC1FAD8-6763-B0B5-44AB-B15B1BB596FC}"/>
              </a:ext>
            </a:extLst>
          </xdr:cNvPr>
          <xdr:cNvSpPr/>
        </xdr:nvSpPr>
        <xdr:spPr>
          <a:xfrm>
            <a:off x="6843711" y="695325"/>
            <a:ext cx="4262439" cy="799983"/>
          </a:xfrm>
          <a:prstGeom prst="roundRect">
            <a:avLst>
              <a:gd name="adj" fmla="val 1592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5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195E5B4F-8DC1-0952-7C57-97248650A9FA}"/>
              </a:ext>
            </a:extLst>
          </xdr:cNvPr>
          <xdr:cNvSpPr/>
        </xdr:nvSpPr>
        <xdr:spPr>
          <a:xfrm>
            <a:off x="8178259" y="1003048"/>
            <a:ext cx="2657473" cy="53218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2F3B7B43-9DF4-4408-9191-2E9D152C3F9B}" type="TxLink">
              <a:rPr lang="en-US" sz="2000" b="1" i="0" u="none" strike="noStrike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ctr"/>
              <a:t> R$ 940,00 </a:t>
            </a:fld>
            <a:endParaRPr lang="pt-BR" sz="2000" b="1" i="0" u="none" strike="noStrike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1790A39E-CA90-D52B-AEFE-9B6F56C4C1AC}"/>
              </a:ext>
            </a:extLst>
          </xdr:cNvPr>
          <xdr:cNvSpPr/>
        </xdr:nvSpPr>
        <xdr:spPr>
          <a:xfrm>
            <a:off x="6834773" y="695324"/>
            <a:ext cx="4284000" cy="308882"/>
          </a:xfrm>
          <a:prstGeom prst="round2SameRect">
            <a:avLst>
              <a:gd name="adj1" fmla="val 35089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MINECRAFT SEASON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C9D6ABD4-B180-429E-953D-CF9000BC649D}"/>
              </a:ext>
            </a:extLst>
          </xdr:cNvPr>
          <xdr:cNvGrpSpPr/>
        </xdr:nvGrpSpPr>
        <xdr:grpSpPr>
          <a:xfrm>
            <a:off x="7572057" y="1094762"/>
            <a:ext cx="720000" cy="280887"/>
            <a:chOff x="3926440" y="5458450"/>
            <a:chExt cx="1408614" cy="587114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6EAA8A26-617A-DA1A-1634-40990EC7623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413474" y="5458450"/>
              <a:ext cx="422584" cy="463741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5865BE21-9298-F365-78F7-507E454B049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926440" y="5811734"/>
              <a:ext cx="1408614" cy="23383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190500</xdr:colOff>
      <xdr:row>11</xdr:row>
      <xdr:rowOff>85725</xdr:rowOff>
    </xdr:from>
    <xdr:to>
      <xdr:col>17</xdr:col>
      <xdr:colOff>9525</xdr:colOff>
      <xdr:row>29</xdr:row>
      <xdr:rowOff>85725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1C90E8FF-CEFD-D9BF-1A36-59F5752538D7}"/>
            </a:ext>
          </a:extLst>
        </xdr:cNvPr>
        <xdr:cNvGrpSpPr/>
      </xdr:nvGrpSpPr>
      <xdr:grpSpPr>
        <a:xfrm>
          <a:off x="2085975" y="2190750"/>
          <a:ext cx="9029700" cy="3429000"/>
          <a:chOff x="2076450" y="1657350"/>
          <a:chExt cx="9029700" cy="3429000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5A719538-E389-C271-EE3A-633E9CE257F3}"/>
              </a:ext>
            </a:extLst>
          </xdr:cNvPr>
          <xdr:cNvSpPr/>
        </xdr:nvSpPr>
        <xdr:spPr>
          <a:xfrm>
            <a:off x="2076450" y="1657350"/>
            <a:ext cx="9029700" cy="3267075"/>
          </a:xfrm>
          <a:prstGeom prst="roundRect">
            <a:avLst>
              <a:gd name="adj" fmla="val 712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D1AA0358-A547-4018-A3FE-B20D634D6223}"/>
              </a:ext>
            </a:extLst>
          </xdr:cNvPr>
          <xdr:cNvGraphicFramePr>
            <a:graphicFrameLocks/>
          </xdr:cNvGraphicFramePr>
        </xdr:nvGraphicFramePr>
        <xdr:xfrm>
          <a:off x="2201322" y="1657350"/>
          <a:ext cx="8904828" cy="3429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965C8AA2-378D-4CD0-A8AC-D2B862D75308}"/>
              </a:ext>
            </a:extLst>
          </xdr:cNvPr>
          <xdr:cNvSpPr/>
        </xdr:nvSpPr>
        <xdr:spPr>
          <a:xfrm>
            <a:off x="2076450" y="1657350"/>
            <a:ext cx="9029700" cy="308882"/>
          </a:xfrm>
          <a:prstGeom prst="round2SameRect">
            <a:avLst>
              <a:gd name="adj1" fmla="val 35089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571500</xdr:colOff>
      <xdr:row>0</xdr:row>
      <xdr:rowOff>142875</xdr:rowOff>
    </xdr:from>
    <xdr:to>
      <xdr:col>0</xdr:col>
      <xdr:colOff>1266825</xdr:colOff>
      <xdr:row>4</xdr:row>
      <xdr:rowOff>76200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B6BAA493-DA1E-4D71-829B-522F2A409683}"/>
            </a:ext>
          </a:extLst>
        </xdr:cNvPr>
        <xdr:cNvSpPr/>
      </xdr:nvSpPr>
      <xdr:spPr>
        <a:xfrm>
          <a:off x="571500" y="142875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238125</xdr:colOff>
      <xdr:row>6</xdr:row>
      <xdr:rowOff>0</xdr:rowOff>
    </xdr:from>
    <xdr:to>
      <xdr:col>0</xdr:col>
      <xdr:colOff>1543050</xdr:colOff>
      <xdr:row>7</xdr:row>
      <xdr:rowOff>104775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145C2FAD-B556-D2F4-EF75-7C6EDF13CB14}"/>
            </a:ext>
          </a:extLst>
        </xdr:cNvPr>
        <xdr:cNvSpPr/>
      </xdr:nvSpPr>
      <xdr:spPr>
        <a:xfrm>
          <a:off x="238125" y="923925"/>
          <a:ext cx="1304925" cy="2286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1"/>
              </a:solidFill>
            </a:rPr>
            <a:t>&gt;</a:t>
          </a:r>
          <a:r>
            <a:rPr lang="pt-BR" sz="1100" baseline="0">
              <a:solidFill>
                <a:schemeClr val="bg1"/>
              </a:solidFill>
            </a:rPr>
            <a:t> Bem vinda, Liana</a:t>
          </a:r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190500</xdr:colOff>
      <xdr:row>4</xdr:row>
      <xdr:rowOff>28575</xdr:rowOff>
    </xdr:from>
    <xdr:to>
      <xdr:col>17</xdr:col>
      <xdr:colOff>66675</xdr:colOff>
      <xdr:row>6</xdr:row>
      <xdr:rowOff>57149</xdr:rowOff>
    </xdr:to>
    <xdr:sp macro="" textlink="">
      <xdr:nvSpPr>
        <xdr:cNvPr id="44" name="Retângulo 43">
          <a:extLst>
            <a:ext uri="{FF2B5EF4-FFF2-40B4-BE49-F238E27FC236}">
              <a16:creationId xmlns:a16="http://schemas.microsoft.com/office/drawing/2014/main" id="{D5F44B33-DB2D-E354-E0F2-BA1D7C15FBC4}"/>
            </a:ext>
          </a:extLst>
        </xdr:cNvPr>
        <xdr:cNvSpPr/>
      </xdr:nvSpPr>
      <xdr:spPr>
        <a:xfrm>
          <a:off x="2085975" y="790575"/>
          <a:ext cx="9086850" cy="257174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2">
                  <a:lumMod val="75000"/>
                </a:schemeClr>
              </a:solidFill>
            </a:rPr>
            <a:t>Calculation period</a:t>
          </a:r>
          <a:r>
            <a:rPr lang="pt-BR" sz="1100" baseline="0">
              <a:solidFill>
                <a:schemeClr val="bg2">
                  <a:lumMod val="75000"/>
                </a:schemeClr>
              </a:solidFill>
            </a:rPr>
            <a:t>: 01/01/2024 - 31/12/2024 | Update date: 10/02/2026</a:t>
          </a:r>
          <a:endParaRPr lang="pt-BR" sz="1100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3.378126041665" createdVersion="8" refreshedVersion="8" minRefreshableVersion="3" recordCount="295" xr:uid="{01BC8024-208F-4589-B225-01A6312460B3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0619684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s v="Yes"/>
    <x v="0"/>
    <s v="Yes"/>
    <n v="20"/>
    <n v="5"/>
    <n v="60"/>
  </r>
  <r>
    <n v="3232"/>
    <x v="1"/>
    <x v="1"/>
    <d v="2024-01-15T00:00:00"/>
    <x v="1"/>
    <x v="1"/>
    <x v="1"/>
    <s v="No"/>
    <x v="1"/>
    <s v="No"/>
    <n v="0"/>
    <n v="0"/>
    <n v="5"/>
  </r>
  <r>
    <n v="3233"/>
    <x v="2"/>
    <x v="2"/>
    <d v="2024-02-10T00:00:00"/>
    <x v="0"/>
    <x v="2"/>
    <x v="2"/>
    <s v="No"/>
    <x v="1"/>
    <s v="Yes"/>
    <n v="20"/>
    <n v="10"/>
    <n v="20"/>
  </r>
  <r>
    <n v="3234"/>
    <x v="3"/>
    <x v="0"/>
    <d v="2024-02-20T00:00:00"/>
    <x v="1"/>
    <x v="0"/>
    <x v="0"/>
    <s v="Yes"/>
    <x v="0"/>
    <s v="Yes"/>
    <n v="20"/>
    <n v="3"/>
    <n v="62"/>
  </r>
  <r>
    <n v="3235"/>
    <x v="4"/>
    <x v="1"/>
    <d v="2024-03-05T00:00:00"/>
    <x v="0"/>
    <x v="1"/>
    <x v="0"/>
    <s v="No"/>
    <x v="1"/>
    <s v="No"/>
    <n v="0"/>
    <n v="1"/>
    <n v="4"/>
  </r>
  <r>
    <n v="3236"/>
    <x v="5"/>
    <x v="2"/>
    <d v="2024-03-02T00:00:00"/>
    <x v="1"/>
    <x v="2"/>
    <x v="0"/>
    <s v="No"/>
    <x v="1"/>
    <s v="Yes"/>
    <n v="20"/>
    <n v="2"/>
    <n v="28"/>
  </r>
  <r>
    <n v="3237"/>
    <x v="6"/>
    <x v="0"/>
    <d v="2024-03-03T00:00:00"/>
    <x v="0"/>
    <x v="0"/>
    <x v="2"/>
    <s v="Yes"/>
    <x v="0"/>
    <s v="Yes"/>
    <n v="20"/>
    <n v="10"/>
    <n v="55"/>
  </r>
  <r>
    <n v="3238"/>
    <x v="7"/>
    <x v="1"/>
    <d v="2024-03-04T00:00:00"/>
    <x v="0"/>
    <x v="1"/>
    <x v="1"/>
    <s v="No"/>
    <x v="1"/>
    <s v="No"/>
    <n v="0"/>
    <n v="0"/>
    <n v="5"/>
  </r>
  <r>
    <n v="3239"/>
    <x v="8"/>
    <x v="0"/>
    <d v="2024-03-05T00:00:00"/>
    <x v="1"/>
    <x v="0"/>
    <x v="0"/>
    <s v="Yes"/>
    <x v="0"/>
    <s v="Yes"/>
    <n v="20"/>
    <n v="5"/>
    <n v="60"/>
  </r>
  <r>
    <n v="3240"/>
    <x v="9"/>
    <x v="2"/>
    <d v="2024-03-06T00:00:00"/>
    <x v="0"/>
    <x v="2"/>
    <x v="2"/>
    <s v="No"/>
    <x v="1"/>
    <s v="Yes"/>
    <n v="20"/>
    <n v="15"/>
    <n v="15"/>
  </r>
  <r>
    <n v="3241"/>
    <x v="10"/>
    <x v="1"/>
    <d v="2024-03-07T00:00:00"/>
    <x v="1"/>
    <x v="1"/>
    <x v="0"/>
    <s v="No"/>
    <x v="1"/>
    <s v="No"/>
    <n v="0"/>
    <n v="1"/>
    <n v="4"/>
  </r>
  <r>
    <n v="3242"/>
    <x v="11"/>
    <x v="0"/>
    <d v="2024-03-08T00:00:00"/>
    <x v="0"/>
    <x v="0"/>
    <x v="1"/>
    <s v="Yes"/>
    <x v="0"/>
    <s v="Yes"/>
    <n v="20"/>
    <n v="20"/>
    <n v="45"/>
  </r>
  <r>
    <n v="3243"/>
    <x v="12"/>
    <x v="2"/>
    <d v="2024-03-09T00:00:00"/>
    <x v="1"/>
    <x v="2"/>
    <x v="0"/>
    <s v="No"/>
    <x v="1"/>
    <s v="Yes"/>
    <n v="20"/>
    <n v="10"/>
    <n v="20"/>
  </r>
  <r>
    <n v="3244"/>
    <x v="13"/>
    <x v="1"/>
    <d v="2024-03-10T00:00:00"/>
    <x v="0"/>
    <x v="1"/>
    <x v="2"/>
    <s v="No"/>
    <x v="1"/>
    <s v="No"/>
    <n v="0"/>
    <n v="0"/>
    <n v="5"/>
  </r>
  <r>
    <n v="3245"/>
    <x v="14"/>
    <x v="0"/>
    <d v="2024-03-11T00:00:00"/>
    <x v="1"/>
    <x v="0"/>
    <x v="0"/>
    <s v="Yes"/>
    <x v="0"/>
    <s v="Yes"/>
    <n v="20"/>
    <n v="8"/>
    <n v="57"/>
  </r>
  <r>
    <n v="3246"/>
    <x v="15"/>
    <x v="2"/>
    <d v="2024-03-12T00:00:00"/>
    <x v="0"/>
    <x v="2"/>
    <x v="1"/>
    <s v="No"/>
    <x v="1"/>
    <s v="Yes"/>
    <n v="20"/>
    <n v="12"/>
    <n v="18"/>
  </r>
  <r>
    <n v="3247"/>
    <x v="16"/>
    <x v="1"/>
    <d v="2024-03-13T00:00:00"/>
    <x v="1"/>
    <x v="1"/>
    <x v="0"/>
    <s v="No"/>
    <x v="1"/>
    <s v="No"/>
    <n v="0"/>
    <n v="2"/>
    <n v="3"/>
  </r>
  <r>
    <n v="3248"/>
    <x v="17"/>
    <x v="0"/>
    <d v="2024-03-14T00:00:00"/>
    <x v="0"/>
    <x v="0"/>
    <x v="2"/>
    <s v="Yes"/>
    <x v="0"/>
    <s v="Yes"/>
    <n v="20"/>
    <n v="7"/>
    <n v="58"/>
  </r>
  <r>
    <n v="3249"/>
    <x v="18"/>
    <x v="2"/>
    <d v="2024-03-15T00:00:00"/>
    <x v="1"/>
    <x v="2"/>
    <x v="0"/>
    <s v="No"/>
    <x v="1"/>
    <s v="Yes"/>
    <n v="20"/>
    <n v="5"/>
    <n v="25"/>
  </r>
  <r>
    <n v="3250"/>
    <x v="19"/>
    <x v="1"/>
    <d v="2024-03-16T00:00:00"/>
    <x v="0"/>
    <x v="1"/>
    <x v="1"/>
    <s v="No"/>
    <x v="1"/>
    <s v="No"/>
    <n v="0"/>
    <n v="0"/>
    <n v="5"/>
  </r>
  <r>
    <n v="3251"/>
    <x v="20"/>
    <x v="0"/>
    <d v="2024-03-17T00:00:00"/>
    <x v="1"/>
    <x v="0"/>
    <x v="0"/>
    <s v="Yes"/>
    <x v="0"/>
    <s v="Yes"/>
    <n v="20"/>
    <n v="3"/>
    <n v="62"/>
  </r>
  <r>
    <n v="3252"/>
    <x v="21"/>
    <x v="2"/>
    <d v="2024-03-18T00:00:00"/>
    <x v="0"/>
    <x v="2"/>
    <x v="2"/>
    <s v="No"/>
    <x v="1"/>
    <s v="Yes"/>
    <n v="20"/>
    <n v="15"/>
    <n v="15"/>
  </r>
  <r>
    <n v="3253"/>
    <x v="22"/>
    <x v="1"/>
    <d v="2024-03-19T00:00:00"/>
    <x v="1"/>
    <x v="1"/>
    <x v="0"/>
    <s v="No"/>
    <x v="1"/>
    <s v="No"/>
    <n v="0"/>
    <n v="1"/>
    <n v="4"/>
  </r>
  <r>
    <n v="3254"/>
    <x v="23"/>
    <x v="0"/>
    <d v="2024-03-20T00:00:00"/>
    <x v="0"/>
    <x v="0"/>
    <x v="1"/>
    <s v="Yes"/>
    <x v="0"/>
    <s v="Yes"/>
    <n v="20"/>
    <n v="20"/>
    <n v="45"/>
  </r>
  <r>
    <n v="3255"/>
    <x v="24"/>
    <x v="2"/>
    <d v="2024-03-21T00:00:00"/>
    <x v="1"/>
    <x v="2"/>
    <x v="0"/>
    <s v="No"/>
    <x v="1"/>
    <s v="Yes"/>
    <n v="20"/>
    <n v="10"/>
    <n v="20"/>
  </r>
  <r>
    <n v="3256"/>
    <x v="25"/>
    <x v="1"/>
    <d v="2024-03-22T00:00:00"/>
    <x v="0"/>
    <x v="1"/>
    <x v="2"/>
    <s v="No"/>
    <x v="1"/>
    <s v="No"/>
    <n v="0"/>
    <n v="0"/>
    <n v="5"/>
  </r>
  <r>
    <n v="3257"/>
    <x v="26"/>
    <x v="0"/>
    <d v="2024-03-23T00:00:00"/>
    <x v="1"/>
    <x v="0"/>
    <x v="0"/>
    <s v="Yes"/>
    <x v="0"/>
    <s v="Yes"/>
    <n v="20"/>
    <n v="5"/>
    <n v="60"/>
  </r>
  <r>
    <n v="3258"/>
    <x v="27"/>
    <x v="2"/>
    <d v="2024-03-24T00:00:00"/>
    <x v="0"/>
    <x v="2"/>
    <x v="1"/>
    <s v="No"/>
    <x v="1"/>
    <s v="Yes"/>
    <n v="20"/>
    <n v="15"/>
    <n v="15"/>
  </r>
  <r>
    <n v="3259"/>
    <x v="28"/>
    <x v="1"/>
    <d v="2024-03-25T00:00:00"/>
    <x v="1"/>
    <x v="1"/>
    <x v="0"/>
    <s v="No"/>
    <x v="1"/>
    <s v="No"/>
    <n v="0"/>
    <n v="1"/>
    <n v="4"/>
  </r>
  <r>
    <n v="3260"/>
    <x v="29"/>
    <x v="0"/>
    <d v="2024-03-26T00:00:00"/>
    <x v="0"/>
    <x v="0"/>
    <x v="2"/>
    <s v="Yes"/>
    <x v="0"/>
    <s v="Yes"/>
    <n v="20"/>
    <n v="7"/>
    <n v="58"/>
  </r>
  <r>
    <n v="3261"/>
    <x v="30"/>
    <x v="2"/>
    <d v="2024-03-27T00:00:00"/>
    <x v="1"/>
    <x v="2"/>
    <x v="0"/>
    <s v="No"/>
    <x v="1"/>
    <s v="Yes"/>
    <n v="20"/>
    <n v="10"/>
    <n v="20"/>
  </r>
  <r>
    <n v="3262"/>
    <x v="31"/>
    <x v="1"/>
    <d v="2024-03-28T00:00:00"/>
    <x v="0"/>
    <x v="1"/>
    <x v="1"/>
    <s v="No"/>
    <x v="1"/>
    <s v="No"/>
    <n v="0"/>
    <n v="0"/>
    <n v="5"/>
  </r>
  <r>
    <n v="3263"/>
    <x v="32"/>
    <x v="0"/>
    <d v="2024-03-29T00:00:00"/>
    <x v="1"/>
    <x v="0"/>
    <x v="0"/>
    <s v="Yes"/>
    <x v="0"/>
    <s v="Yes"/>
    <n v="20"/>
    <n v="3"/>
    <n v="62"/>
  </r>
  <r>
    <n v="3264"/>
    <x v="33"/>
    <x v="2"/>
    <d v="2024-03-30T00:00:00"/>
    <x v="0"/>
    <x v="2"/>
    <x v="2"/>
    <s v="No"/>
    <x v="1"/>
    <s v="Yes"/>
    <n v="20"/>
    <n v="15"/>
    <n v="15"/>
  </r>
  <r>
    <n v="3265"/>
    <x v="34"/>
    <x v="1"/>
    <d v="2024-03-31T00:00:00"/>
    <x v="1"/>
    <x v="1"/>
    <x v="0"/>
    <s v="No"/>
    <x v="1"/>
    <s v="No"/>
    <n v="0"/>
    <n v="1"/>
    <n v="4"/>
  </r>
  <r>
    <n v="3266"/>
    <x v="35"/>
    <x v="1"/>
    <d v="2024-04-01T00:00:00"/>
    <x v="0"/>
    <x v="1"/>
    <x v="0"/>
    <s v="No"/>
    <x v="1"/>
    <s v="No"/>
    <n v="0"/>
    <n v="0"/>
    <n v="5"/>
  </r>
  <r>
    <n v="3267"/>
    <x v="36"/>
    <x v="0"/>
    <d v="2024-04-02T00:00:00"/>
    <x v="1"/>
    <x v="0"/>
    <x v="2"/>
    <s v="Yes"/>
    <x v="0"/>
    <s v="Yes"/>
    <n v="20"/>
    <n v="7"/>
    <n v="58"/>
  </r>
  <r>
    <n v="3268"/>
    <x v="37"/>
    <x v="2"/>
    <d v="2024-04-03T00:00:00"/>
    <x v="0"/>
    <x v="2"/>
    <x v="1"/>
    <s v="No"/>
    <x v="1"/>
    <s v="Yes"/>
    <n v="20"/>
    <n v="10"/>
    <n v="20"/>
  </r>
  <r>
    <n v="3269"/>
    <x v="38"/>
    <x v="1"/>
    <d v="2024-04-04T00:00:00"/>
    <x v="1"/>
    <x v="1"/>
    <x v="2"/>
    <s v="No"/>
    <x v="1"/>
    <s v="No"/>
    <n v="0"/>
    <n v="1"/>
    <n v="4"/>
  </r>
  <r>
    <n v="3270"/>
    <x v="39"/>
    <x v="0"/>
    <d v="2024-04-05T00:00:00"/>
    <x v="0"/>
    <x v="0"/>
    <x v="0"/>
    <s v="Yes"/>
    <x v="0"/>
    <s v="Yes"/>
    <n v="20"/>
    <n v="15"/>
    <n v="50"/>
  </r>
  <r>
    <n v="3271"/>
    <x v="40"/>
    <x v="2"/>
    <d v="2024-04-06T00:00:00"/>
    <x v="1"/>
    <x v="2"/>
    <x v="0"/>
    <s v="No"/>
    <x v="1"/>
    <s v="Yes"/>
    <n v="20"/>
    <n v="5"/>
    <n v="25"/>
  </r>
  <r>
    <n v="3272"/>
    <x v="41"/>
    <x v="1"/>
    <d v="2024-04-07T00:00:00"/>
    <x v="0"/>
    <x v="1"/>
    <x v="1"/>
    <s v="No"/>
    <x v="1"/>
    <s v="No"/>
    <n v="0"/>
    <n v="0"/>
    <n v="5"/>
  </r>
  <r>
    <n v="3273"/>
    <x v="42"/>
    <x v="0"/>
    <d v="2024-04-08T00:00:00"/>
    <x v="1"/>
    <x v="0"/>
    <x v="2"/>
    <s v="Yes"/>
    <x v="0"/>
    <s v="Yes"/>
    <n v="20"/>
    <n v="20"/>
    <n v="45"/>
  </r>
  <r>
    <n v="3274"/>
    <x v="43"/>
    <x v="2"/>
    <d v="2024-04-09T00:00:00"/>
    <x v="0"/>
    <x v="2"/>
    <x v="2"/>
    <s v="No"/>
    <x v="1"/>
    <s v="Yes"/>
    <n v="20"/>
    <n v="12"/>
    <n v="18"/>
  </r>
  <r>
    <n v="3275"/>
    <x v="44"/>
    <x v="1"/>
    <d v="2024-04-10T00:00:00"/>
    <x v="1"/>
    <x v="1"/>
    <x v="0"/>
    <s v="No"/>
    <x v="1"/>
    <s v="No"/>
    <n v="0"/>
    <n v="2"/>
    <n v="3"/>
  </r>
  <r>
    <n v="3276"/>
    <x v="45"/>
    <x v="0"/>
    <d v="2024-04-11T00:00:00"/>
    <x v="0"/>
    <x v="0"/>
    <x v="1"/>
    <s v="Yes"/>
    <x v="0"/>
    <s v="Yes"/>
    <n v="20"/>
    <n v="5"/>
    <n v="60"/>
  </r>
  <r>
    <n v="3277"/>
    <x v="46"/>
    <x v="2"/>
    <d v="2024-04-12T00:00:00"/>
    <x v="1"/>
    <x v="2"/>
    <x v="0"/>
    <s v="No"/>
    <x v="1"/>
    <s v="Yes"/>
    <n v="20"/>
    <n v="10"/>
    <n v="20"/>
  </r>
  <r>
    <n v="3278"/>
    <x v="47"/>
    <x v="1"/>
    <d v="2024-04-13T00:00:00"/>
    <x v="0"/>
    <x v="1"/>
    <x v="2"/>
    <s v="No"/>
    <x v="1"/>
    <s v="No"/>
    <n v="0"/>
    <n v="0"/>
    <n v="5"/>
  </r>
  <r>
    <n v="3279"/>
    <x v="48"/>
    <x v="0"/>
    <d v="2024-04-14T00:00:00"/>
    <x v="1"/>
    <x v="0"/>
    <x v="0"/>
    <s v="Yes"/>
    <x v="0"/>
    <s v="Yes"/>
    <n v="20"/>
    <n v="3"/>
    <n v="62"/>
  </r>
  <r>
    <n v="3280"/>
    <x v="49"/>
    <x v="2"/>
    <d v="2024-04-15T00:00:00"/>
    <x v="0"/>
    <x v="2"/>
    <x v="1"/>
    <s v="No"/>
    <x v="1"/>
    <s v="Yes"/>
    <n v="20"/>
    <n v="15"/>
    <n v="15"/>
  </r>
  <r>
    <n v="3281"/>
    <x v="50"/>
    <x v="1"/>
    <d v="2024-04-16T00:00:00"/>
    <x v="1"/>
    <x v="1"/>
    <x v="0"/>
    <s v="No"/>
    <x v="1"/>
    <s v="No"/>
    <n v="0"/>
    <n v="1"/>
    <n v="4"/>
  </r>
  <r>
    <n v="3282"/>
    <x v="51"/>
    <x v="0"/>
    <d v="2024-04-17T00:00:00"/>
    <x v="0"/>
    <x v="0"/>
    <x v="2"/>
    <s v="Yes"/>
    <x v="0"/>
    <s v="Yes"/>
    <n v="20"/>
    <n v="7"/>
    <n v="58"/>
  </r>
  <r>
    <n v="3283"/>
    <x v="52"/>
    <x v="2"/>
    <d v="2024-04-18T00:00:00"/>
    <x v="1"/>
    <x v="2"/>
    <x v="0"/>
    <s v="No"/>
    <x v="1"/>
    <s v="Yes"/>
    <n v="20"/>
    <n v="10"/>
    <n v="20"/>
  </r>
  <r>
    <n v="3284"/>
    <x v="53"/>
    <x v="1"/>
    <d v="2024-04-19T00:00:00"/>
    <x v="0"/>
    <x v="1"/>
    <x v="1"/>
    <s v="No"/>
    <x v="1"/>
    <s v="No"/>
    <n v="0"/>
    <n v="0"/>
    <n v="5"/>
  </r>
  <r>
    <n v="3285"/>
    <x v="54"/>
    <x v="0"/>
    <d v="2024-04-20T00:00:00"/>
    <x v="1"/>
    <x v="0"/>
    <x v="0"/>
    <s v="Yes"/>
    <x v="0"/>
    <s v="Yes"/>
    <n v="20"/>
    <n v="20"/>
    <n v="45"/>
  </r>
  <r>
    <n v="3286"/>
    <x v="55"/>
    <x v="2"/>
    <d v="2024-04-21T00:00:00"/>
    <x v="0"/>
    <x v="2"/>
    <x v="2"/>
    <s v="No"/>
    <x v="1"/>
    <s v="Yes"/>
    <n v="20"/>
    <n v="15"/>
    <n v="15"/>
  </r>
  <r>
    <n v="3287"/>
    <x v="56"/>
    <x v="1"/>
    <d v="2024-04-22T00:00:00"/>
    <x v="1"/>
    <x v="1"/>
    <x v="0"/>
    <s v="No"/>
    <x v="1"/>
    <s v="No"/>
    <n v="0"/>
    <n v="1"/>
    <n v="4"/>
  </r>
  <r>
    <n v="3288"/>
    <x v="57"/>
    <x v="0"/>
    <d v="2024-04-23T00:00:00"/>
    <x v="0"/>
    <x v="0"/>
    <x v="1"/>
    <s v="Yes"/>
    <x v="0"/>
    <s v="Yes"/>
    <n v="20"/>
    <n v="3"/>
    <n v="62"/>
  </r>
  <r>
    <n v="3289"/>
    <x v="58"/>
    <x v="2"/>
    <d v="2024-04-24T00:00:00"/>
    <x v="1"/>
    <x v="2"/>
    <x v="0"/>
    <s v="No"/>
    <x v="1"/>
    <s v="Yes"/>
    <n v="20"/>
    <n v="10"/>
    <n v="20"/>
  </r>
  <r>
    <n v="3290"/>
    <x v="59"/>
    <x v="1"/>
    <d v="2024-04-25T00:00:00"/>
    <x v="0"/>
    <x v="1"/>
    <x v="2"/>
    <s v="No"/>
    <x v="1"/>
    <s v="No"/>
    <n v="0"/>
    <n v="0"/>
    <n v="5"/>
  </r>
  <r>
    <n v="3291"/>
    <x v="60"/>
    <x v="0"/>
    <d v="2024-04-26T00:00:00"/>
    <x v="1"/>
    <x v="0"/>
    <x v="0"/>
    <s v="Yes"/>
    <x v="0"/>
    <s v="Yes"/>
    <n v="20"/>
    <n v="5"/>
    <n v="60"/>
  </r>
  <r>
    <n v="3292"/>
    <x v="61"/>
    <x v="2"/>
    <d v="2024-04-27T00:00:00"/>
    <x v="0"/>
    <x v="2"/>
    <x v="1"/>
    <s v="No"/>
    <x v="1"/>
    <s v="Yes"/>
    <n v="20"/>
    <n v="15"/>
    <n v="15"/>
  </r>
  <r>
    <n v="3293"/>
    <x v="62"/>
    <x v="1"/>
    <d v="2024-04-28T00:00:00"/>
    <x v="1"/>
    <x v="1"/>
    <x v="0"/>
    <s v="No"/>
    <x v="1"/>
    <s v="No"/>
    <n v="0"/>
    <n v="1"/>
    <n v="4"/>
  </r>
  <r>
    <n v="3294"/>
    <x v="63"/>
    <x v="0"/>
    <d v="2024-04-29T00:00:00"/>
    <x v="0"/>
    <x v="0"/>
    <x v="2"/>
    <s v="Yes"/>
    <x v="0"/>
    <s v="Yes"/>
    <n v="20"/>
    <n v="20"/>
    <n v="45"/>
  </r>
  <r>
    <n v="3295"/>
    <x v="64"/>
    <x v="2"/>
    <d v="2024-04-30T00:00:00"/>
    <x v="1"/>
    <x v="2"/>
    <x v="0"/>
    <s v="No"/>
    <x v="1"/>
    <s v="Yes"/>
    <n v="20"/>
    <n v="5"/>
    <n v="25"/>
  </r>
  <r>
    <n v="3296"/>
    <x v="65"/>
    <x v="1"/>
    <d v="2024-05-01T00:00:00"/>
    <x v="1"/>
    <x v="1"/>
    <x v="0"/>
    <s v="No"/>
    <x v="1"/>
    <s v="No"/>
    <n v="0"/>
    <n v="0"/>
    <n v="5"/>
  </r>
  <r>
    <n v="3297"/>
    <x v="66"/>
    <x v="0"/>
    <d v="2024-05-02T00:00:00"/>
    <x v="0"/>
    <x v="0"/>
    <x v="2"/>
    <s v="Yes"/>
    <x v="0"/>
    <s v="Yes"/>
    <n v="20"/>
    <n v="7"/>
    <n v="58"/>
  </r>
  <r>
    <n v="3298"/>
    <x v="67"/>
    <x v="2"/>
    <d v="2024-05-03T00:00:00"/>
    <x v="1"/>
    <x v="2"/>
    <x v="1"/>
    <s v="No"/>
    <x v="1"/>
    <s v="Yes"/>
    <n v="20"/>
    <n v="10"/>
    <n v="20"/>
  </r>
  <r>
    <n v="3299"/>
    <x v="68"/>
    <x v="1"/>
    <d v="2024-05-04T00:00:00"/>
    <x v="0"/>
    <x v="1"/>
    <x v="2"/>
    <s v="No"/>
    <x v="1"/>
    <s v="No"/>
    <n v="0"/>
    <n v="1"/>
    <n v="4"/>
  </r>
  <r>
    <n v="3300"/>
    <x v="69"/>
    <x v="0"/>
    <d v="2024-05-05T00:00:00"/>
    <x v="1"/>
    <x v="0"/>
    <x v="0"/>
    <s v="Yes"/>
    <x v="0"/>
    <s v="Yes"/>
    <n v="20"/>
    <n v="15"/>
    <n v="50"/>
  </r>
  <r>
    <n v="3301"/>
    <x v="70"/>
    <x v="2"/>
    <d v="2024-05-06T00:00:00"/>
    <x v="0"/>
    <x v="2"/>
    <x v="0"/>
    <s v="No"/>
    <x v="1"/>
    <s v="Yes"/>
    <n v="20"/>
    <n v="5"/>
    <n v="25"/>
  </r>
  <r>
    <n v="3302"/>
    <x v="71"/>
    <x v="1"/>
    <d v="2024-05-07T00:00:00"/>
    <x v="1"/>
    <x v="1"/>
    <x v="1"/>
    <s v="No"/>
    <x v="1"/>
    <s v="No"/>
    <n v="0"/>
    <n v="0"/>
    <n v="5"/>
  </r>
  <r>
    <n v="3303"/>
    <x v="72"/>
    <x v="0"/>
    <d v="2024-05-08T00:00:00"/>
    <x v="0"/>
    <x v="0"/>
    <x v="2"/>
    <s v="Yes"/>
    <x v="0"/>
    <s v="Yes"/>
    <n v="20"/>
    <n v="20"/>
    <n v="45"/>
  </r>
  <r>
    <n v="3304"/>
    <x v="73"/>
    <x v="2"/>
    <d v="2024-05-09T00:00:00"/>
    <x v="1"/>
    <x v="2"/>
    <x v="2"/>
    <s v="No"/>
    <x v="1"/>
    <s v="Yes"/>
    <n v="20"/>
    <n v="12"/>
    <n v="18"/>
  </r>
  <r>
    <n v="3305"/>
    <x v="74"/>
    <x v="1"/>
    <d v="2024-05-10T00:00:00"/>
    <x v="0"/>
    <x v="1"/>
    <x v="0"/>
    <s v="No"/>
    <x v="1"/>
    <s v="No"/>
    <n v="0"/>
    <n v="2"/>
    <n v="3"/>
  </r>
  <r>
    <n v="3306"/>
    <x v="75"/>
    <x v="0"/>
    <d v="2024-05-11T00:00:00"/>
    <x v="1"/>
    <x v="0"/>
    <x v="1"/>
    <s v="Yes"/>
    <x v="0"/>
    <s v="Yes"/>
    <n v="20"/>
    <n v="5"/>
    <n v="60"/>
  </r>
  <r>
    <n v="3307"/>
    <x v="76"/>
    <x v="2"/>
    <d v="2024-05-12T00:00:00"/>
    <x v="0"/>
    <x v="2"/>
    <x v="0"/>
    <s v="No"/>
    <x v="1"/>
    <s v="Yes"/>
    <n v="20"/>
    <n v="10"/>
    <n v="20"/>
  </r>
  <r>
    <n v="3308"/>
    <x v="77"/>
    <x v="1"/>
    <d v="2024-05-13T00:00:00"/>
    <x v="1"/>
    <x v="1"/>
    <x v="2"/>
    <s v="No"/>
    <x v="1"/>
    <s v="No"/>
    <n v="0"/>
    <n v="0"/>
    <n v="5"/>
  </r>
  <r>
    <n v="3309"/>
    <x v="78"/>
    <x v="0"/>
    <d v="2024-05-14T00:00:00"/>
    <x v="0"/>
    <x v="0"/>
    <x v="0"/>
    <s v="Yes"/>
    <x v="0"/>
    <s v="Yes"/>
    <n v="20"/>
    <n v="3"/>
    <n v="62"/>
  </r>
  <r>
    <n v="3310"/>
    <x v="79"/>
    <x v="2"/>
    <d v="2024-05-15T00:00:00"/>
    <x v="1"/>
    <x v="2"/>
    <x v="1"/>
    <s v="No"/>
    <x v="1"/>
    <s v="Yes"/>
    <n v="20"/>
    <n v="15"/>
    <n v="15"/>
  </r>
  <r>
    <n v="3311"/>
    <x v="80"/>
    <x v="1"/>
    <d v="2024-05-16T00:00:00"/>
    <x v="0"/>
    <x v="1"/>
    <x v="0"/>
    <s v="No"/>
    <x v="1"/>
    <s v="No"/>
    <n v="0"/>
    <n v="1"/>
    <n v="4"/>
  </r>
  <r>
    <n v="3312"/>
    <x v="81"/>
    <x v="0"/>
    <d v="2024-05-17T00:00:00"/>
    <x v="1"/>
    <x v="0"/>
    <x v="2"/>
    <s v="Yes"/>
    <x v="0"/>
    <s v="Yes"/>
    <n v="20"/>
    <n v="7"/>
    <n v="58"/>
  </r>
  <r>
    <n v="3313"/>
    <x v="82"/>
    <x v="2"/>
    <d v="2024-05-18T00:00:00"/>
    <x v="0"/>
    <x v="2"/>
    <x v="0"/>
    <s v="No"/>
    <x v="1"/>
    <s v="Yes"/>
    <n v="20"/>
    <n v="10"/>
    <n v="20"/>
  </r>
  <r>
    <n v="3314"/>
    <x v="83"/>
    <x v="1"/>
    <d v="2024-05-19T00:00:00"/>
    <x v="1"/>
    <x v="1"/>
    <x v="1"/>
    <s v="No"/>
    <x v="1"/>
    <s v="No"/>
    <n v="0"/>
    <n v="0"/>
    <n v="5"/>
  </r>
  <r>
    <n v="3315"/>
    <x v="84"/>
    <x v="0"/>
    <d v="2024-05-20T00:00:00"/>
    <x v="0"/>
    <x v="0"/>
    <x v="0"/>
    <s v="Yes"/>
    <x v="0"/>
    <s v="Yes"/>
    <n v="20"/>
    <n v="20"/>
    <n v="45"/>
  </r>
  <r>
    <n v="3316"/>
    <x v="85"/>
    <x v="2"/>
    <d v="2024-05-21T00:00:00"/>
    <x v="1"/>
    <x v="2"/>
    <x v="2"/>
    <s v="No"/>
    <x v="1"/>
    <s v="Yes"/>
    <n v="20"/>
    <n v="15"/>
    <n v="15"/>
  </r>
  <r>
    <n v="3317"/>
    <x v="86"/>
    <x v="1"/>
    <d v="2024-05-22T00:00:00"/>
    <x v="0"/>
    <x v="1"/>
    <x v="0"/>
    <s v="No"/>
    <x v="1"/>
    <s v="No"/>
    <n v="0"/>
    <n v="1"/>
    <n v="4"/>
  </r>
  <r>
    <n v="3318"/>
    <x v="87"/>
    <x v="0"/>
    <d v="2024-05-23T00:00:00"/>
    <x v="1"/>
    <x v="0"/>
    <x v="1"/>
    <s v="Yes"/>
    <x v="0"/>
    <s v="Yes"/>
    <n v="20"/>
    <n v="3"/>
    <n v="62"/>
  </r>
  <r>
    <n v="3319"/>
    <x v="88"/>
    <x v="2"/>
    <d v="2024-05-24T00:00:00"/>
    <x v="0"/>
    <x v="2"/>
    <x v="0"/>
    <s v="No"/>
    <x v="1"/>
    <s v="Yes"/>
    <n v="20"/>
    <n v="10"/>
    <n v="20"/>
  </r>
  <r>
    <n v="3320"/>
    <x v="89"/>
    <x v="1"/>
    <d v="2024-05-25T00:00:00"/>
    <x v="1"/>
    <x v="1"/>
    <x v="2"/>
    <s v="No"/>
    <x v="1"/>
    <s v="No"/>
    <n v="0"/>
    <n v="0"/>
    <n v="5"/>
  </r>
  <r>
    <n v="3321"/>
    <x v="90"/>
    <x v="0"/>
    <d v="2024-05-26T00:00:00"/>
    <x v="0"/>
    <x v="0"/>
    <x v="0"/>
    <s v="Yes"/>
    <x v="0"/>
    <s v="Yes"/>
    <n v="20"/>
    <n v="5"/>
    <n v="60"/>
  </r>
  <r>
    <n v="3322"/>
    <x v="91"/>
    <x v="2"/>
    <d v="2024-05-27T00:00:00"/>
    <x v="1"/>
    <x v="2"/>
    <x v="1"/>
    <s v="No"/>
    <x v="1"/>
    <s v="Yes"/>
    <n v="20"/>
    <n v="15"/>
    <n v="15"/>
  </r>
  <r>
    <n v="3323"/>
    <x v="92"/>
    <x v="1"/>
    <d v="2024-05-28T00:00:00"/>
    <x v="0"/>
    <x v="1"/>
    <x v="0"/>
    <s v="No"/>
    <x v="1"/>
    <s v="No"/>
    <n v="0"/>
    <n v="1"/>
    <n v="4"/>
  </r>
  <r>
    <n v="3324"/>
    <x v="93"/>
    <x v="0"/>
    <d v="2024-05-29T00:00:00"/>
    <x v="1"/>
    <x v="0"/>
    <x v="2"/>
    <s v="Yes"/>
    <x v="0"/>
    <s v="Yes"/>
    <n v="20"/>
    <n v="20"/>
    <n v="45"/>
  </r>
  <r>
    <n v="3325"/>
    <x v="94"/>
    <x v="2"/>
    <d v="2024-05-30T00:00:00"/>
    <x v="0"/>
    <x v="2"/>
    <x v="2"/>
    <s v="No"/>
    <x v="1"/>
    <s v="Yes"/>
    <n v="20"/>
    <n v="15"/>
    <n v="15"/>
  </r>
  <r>
    <n v="3326"/>
    <x v="95"/>
    <x v="1"/>
    <d v="2024-05-31T00:00:00"/>
    <x v="1"/>
    <x v="1"/>
    <x v="1"/>
    <s v="No"/>
    <x v="1"/>
    <s v="No"/>
    <n v="0"/>
    <n v="0"/>
    <n v="5"/>
  </r>
  <r>
    <n v="3327"/>
    <x v="96"/>
    <x v="0"/>
    <d v="2024-06-01T00:00:00"/>
    <x v="0"/>
    <x v="0"/>
    <x v="0"/>
    <s v="Yes"/>
    <x v="0"/>
    <s v="Yes"/>
    <n v="20"/>
    <n v="7"/>
    <n v="58"/>
  </r>
  <r>
    <n v="3328"/>
    <x v="97"/>
    <x v="2"/>
    <d v="2024-06-02T00:00:00"/>
    <x v="1"/>
    <x v="2"/>
    <x v="1"/>
    <s v="No"/>
    <x v="1"/>
    <s v="Yes"/>
    <n v="20"/>
    <n v="10"/>
    <n v="20"/>
  </r>
  <r>
    <n v="3329"/>
    <x v="98"/>
    <x v="1"/>
    <d v="2024-06-03T00:00:00"/>
    <x v="0"/>
    <x v="1"/>
    <x v="2"/>
    <s v="No"/>
    <x v="1"/>
    <s v="No"/>
    <n v="0"/>
    <n v="1"/>
    <n v="4"/>
  </r>
  <r>
    <n v="3330"/>
    <x v="99"/>
    <x v="0"/>
    <d v="2024-06-04T00:00:00"/>
    <x v="1"/>
    <x v="0"/>
    <x v="0"/>
    <s v="Yes"/>
    <x v="0"/>
    <s v="Yes"/>
    <n v="20"/>
    <n v="15"/>
    <n v="50"/>
  </r>
  <r>
    <n v="3331"/>
    <x v="100"/>
    <x v="2"/>
    <d v="2024-06-05T00:00:00"/>
    <x v="0"/>
    <x v="2"/>
    <x v="0"/>
    <s v="No"/>
    <x v="1"/>
    <s v="Yes"/>
    <n v="20"/>
    <n v="5"/>
    <n v="25"/>
  </r>
  <r>
    <n v="3332"/>
    <x v="101"/>
    <x v="1"/>
    <d v="2024-06-06T00:00:00"/>
    <x v="1"/>
    <x v="1"/>
    <x v="1"/>
    <s v="No"/>
    <x v="1"/>
    <s v="No"/>
    <n v="0"/>
    <n v="0"/>
    <n v="5"/>
  </r>
  <r>
    <n v="3333"/>
    <x v="102"/>
    <x v="0"/>
    <d v="2024-06-07T00:00:00"/>
    <x v="0"/>
    <x v="0"/>
    <x v="2"/>
    <s v="Yes"/>
    <x v="0"/>
    <s v="Yes"/>
    <n v="20"/>
    <n v="20"/>
    <n v="45"/>
  </r>
  <r>
    <n v="3334"/>
    <x v="103"/>
    <x v="2"/>
    <d v="2024-06-08T00:00:00"/>
    <x v="1"/>
    <x v="2"/>
    <x v="2"/>
    <s v="No"/>
    <x v="1"/>
    <s v="Yes"/>
    <n v="20"/>
    <n v="12"/>
    <n v="18"/>
  </r>
  <r>
    <n v="3335"/>
    <x v="104"/>
    <x v="1"/>
    <d v="2024-06-09T00:00:00"/>
    <x v="0"/>
    <x v="1"/>
    <x v="0"/>
    <s v="No"/>
    <x v="1"/>
    <s v="No"/>
    <n v="0"/>
    <n v="2"/>
    <n v="3"/>
  </r>
  <r>
    <n v="3336"/>
    <x v="105"/>
    <x v="1"/>
    <d v="2024-06-10T00:00:00"/>
    <x v="0"/>
    <x v="1"/>
    <x v="0"/>
    <s v="No"/>
    <x v="1"/>
    <s v="No"/>
    <n v="0"/>
    <n v="0"/>
    <n v="5"/>
  </r>
  <r>
    <n v="3337"/>
    <x v="106"/>
    <x v="0"/>
    <d v="2024-06-11T00:00:00"/>
    <x v="1"/>
    <x v="0"/>
    <x v="2"/>
    <s v="Yes"/>
    <x v="0"/>
    <s v="Yes"/>
    <n v="20"/>
    <n v="7"/>
    <n v="58"/>
  </r>
  <r>
    <n v="3338"/>
    <x v="107"/>
    <x v="2"/>
    <d v="2024-06-12T00:00:00"/>
    <x v="0"/>
    <x v="2"/>
    <x v="1"/>
    <s v="No"/>
    <x v="1"/>
    <s v="Yes"/>
    <n v="20"/>
    <n v="10"/>
    <n v="20"/>
  </r>
  <r>
    <n v="3339"/>
    <x v="108"/>
    <x v="1"/>
    <d v="2024-06-13T00:00:00"/>
    <x v="1"/>
    <x v="1"/>
    <x v="2"/>
    <s v="No"/>
    <x v="1"/>
    <s v="No"/>
    <n v="0"/>
    <n v="1"/>
    <n v="4"/>
  </r>
  <r>
    <n v="3340"/>
    <x v="109"/>
    <x v="0"/>
    <d v="2024-06-14T00:00:00"/>
    <x v="0"/>
    <x v="0"/>
    <x v="0"/>
    <s v="Yes"/>
    <x v="0"/>
    <s v="Yes"/>
    <n v="20"/>
    <n v="15"/>
    <n v="50"/>
  </r>
  <r>
    <n v="3341"/>
    <x v="110"/>
    <x v="2"/>
    <d v="2024-06-15T00:00:00"/>
    <x v="1"/>
    <x v="2"/>
    <x v="0"/>
    <s v="No"/>
    <x v="1"/>
    <s v="Yes"/>
    <n v="20"/>
    <n v="5"/>
    <n v="25"/>
  </r>
  <r>
    <n v="3342"/>
    <x v="111"/>
    <x v="1"/>
    <d v="2024-06-16T00:00:00"/>
    <x v="0"/>
    <x v="1"/>
    <x v="1"/>
    <s v="No"/>
    <x v="1"/>
    <s v="No"/>
    <n v="0"/>
    <n v="0"/>
    <n v="5"/>
  </r>
  <r>
    <n v="3343"/>
    <x v="112"/>
    <x v="0"/>
    <d v="2024-06-17T00:00:00"/>
    <x v="1"/>
    <x v="0"/>
    <x v="2"/>
    <s v="Yes"/>
    <x v="0"/>
    <s v="Yes"/>
    <n v="20"/>
    <n v="20"/>
    <n v="45"/>
  </r>
  <r>
    <n v="3344"/>
    <x v="113"/>
    <x v="2"/>
    <d v="2024-06-18T00:00:00"/>
    <x v="0"/>
    <x v="2"/>
    <x v="2"/>
    <s v="No"/>
    <x v="1"/>
    <s v="Yes"/>
    <n v="20"/>
    <n v="12"/>
    <n v="18"/>
  </r>
  <r>
    <n v="3345"/>
    <x v="114"/>
    <x v="1"/>
    <d v="2024-06-19T00:00:00"/>
    <x v="1"/>
    <x v="1"/>
    <x v="0"/>
    <s v="No"/>
    <x v="1"/>
    <s v="No"/>
    <n v="0"/>
    <n v="2"/>
    <n v="3"/>
  </r>
  <r>
    <n v="3346"/>
    <x v="115"/>
    <x v="0"/>
    <d v="2024-06-20T00:00:00"/>
    <x v="0"/>
    <x v="0"/>
    <x v="1"/>
    <s v="Yes"/>
    <x v="0"/>
    <s v="Yes"/>
    <n v="20"/>
    <n v="5"/>
    <n v="60"/>
  </r>
  <r>
    <n v="3347"/>
    <x v="116"/>
    <x v="2"/>
    <d v="2024-06-21T00:00:00"/>
    <x v="1"/>
    <x v="2"/>
    <x v="0"/>
    <s v="No"/>
    <x v="1"/>
    <s v="Yes"/>
    <n v="20"/>
    <n v="10"/>
    <n v="20"/>
  </r>
  <r>
    <n v="3348"/>
    <x v="117"/>
    <x v="1"/>
    <d v="2024-06-22T00:00:00"/>
    <x v="0"/>
    <x v="1"/>
    <x v="2"/>
    <s v="No"/>
    <x v="1"/>
    <s v="No"/>
    <n v="0"/>
    <n v="0"/>
    <n v="5"/>
  </r>
  <r>
    <n v="3349"/>
    <x v="93"/>
    <x v="0"/>
    <d v="2024-06-23T00:00:00"/>
    <x v="1"/>
    <x v="0"/>
    <x v="0"/>
    <s v="Yes"/>
    <x v="0"/>
    <s v="Yes"/>
    <n v="20"/>
    <n v="3"/>
    <n v="62"/>
  </r>
  <r>
    <n v="3350"/>
    <x v="118"/>
    <x v="2"/>
    <d v="2024-06-24T00:00:00"/>
    <x v="0"/>
    <x v="2"/>
    <x v="1"/>
    <s v="No"/>
    <x v="1"/>
    <s v="Yes"/>
    <n v="20"/>
    <n v="15"/>
    <n v="15"/>
  </r>
  <r>
    <n v="3351"/>
    <x v="119"/>
    <x v="1"/>
    <d v="2024-06-25T00:00:00"/>
    <x v="1"/>
    <x v="1"/>
    <x v="0"/>
    <s v="No"/>
    <x v="1"/>
    <s v="No"/>
    <n v="0"/>
    <n v="1"/>
    <n v="4"/>
  </r>
  <r>
    <n v="3352"/>
    <x v="120"/>
    <x v="0"/>
    <d v="2024-06-26T00:00:00"/>
    <x v="0"/>
    <x v="0"/>
    <x v="2"/>
    <s v="Yes"/>
    <x v="0"/>
    <s v="Yes"/>
    <n v="20"/>
    <n v="7"/>
    <n v="58"/>
  </r>
  <r>
    <n v="3353"/>
    <x v="121"/>
    <x v="2"/>
    <d v="2024-06-27T00:00:00"/>
    <x v="1"/>
    <x v="2"/>
    <x v="0"/>
    <s v="No"/>
    <x v="1"/>
    <s v="Yes"/>
    <n v="20"/>
    <n v="10"/>
    <n v="20"/>
  </r>
  <r>
    <n v="3354"/>
    <x v="122"/>
    <x v="1"/>
    <d v="2024-06-28T00:00:00"/>
    <x v="0"/>
    <x v="1"/>
    <x v="1"/>
    <s v="No"/>
    <x v="1"/>
    <s v="No"/>
    <n v="0"/>
    <n v="0"/>
    <n v="5"/>
  </r>
  <r>
    <n v="3355"/>
    <x v="123"/>
    <x v="0"/>
    <d v="2024-06-29T00:00:00"/>
    <x v="1"/>
    <x v="0"/>
    <x v="0"/>
    <s v="Yes"/>
    <x v="0"/>
    <s v="Yes"/>
    <n v="20"/>
    <n v="20"/>
    <n v="45"/>
  </r>
  <r>
    <n v="3356"/>
    <x v="124"/>
    <x v="2"/>
    <d v="2024-06-30T00:00:00"/>
    <x v="0"/>
    <x v="2"/>
    <x v="2"/>
    <s v="No"/>
    <x v="1"/>
    <s v="Yes"/>
    <n v="20"/>
    <n v="15"/>
    <n v="15"/>
  </r>
  <r>
    <n v="3357"/>
    <x v="125"/>
    <x v="1"/>
    <d v="2024-07-01T00:00:00"/>
    <x v="1"/>
    <x v="1"/>
    <x v="0"/>
    <s v="No"/>
    <x v="1"/>
    <s v="No"/>
    <n v="0"/>
    <n v="1"/>
    <n v="4"/>
  </r>
  <r>
    <n v="3358"/>
    <x v="126"/>
    <x v="0"/>
    <d v="2024-07-02T00:00:00"/>
    <x v="0"/>
    <x v="0"/>
    <x v="1"/>
    <s v="Yes"/>
    <x v="0"/>
    <s v="Yes"/>
    <n v="20"/>
    <n v="3"/>
    <n v="62"/>
  </r>
  <r>
    <n v="3359"/>
    <x v="127"/>
    <x v="2"/>
    <d v="2024-07-03T00:00:00"/>
    <x v="1"/>
    <x v="2"/>
    <x v="0"/>
    <s v="No"/>
    <x v="1"/>
    <s v="Yes"/>
    <n v="20"/>
    <n v="10"/>
    <n v="20"/>
  </r>
  <r>
    <n v="3360"/>
    <x v="128"/>
    <x v="1"/>
    <d v="2024-07-04T00:00:00"/>
    <x v="0"/>
    <x v="1"/>
    <x v="2"/>
    <s v="No"/>
    <x v="1"/>
    <s v="No"/>
    <n v="0"/>
    <n v="0"/>
    <n v="5"/>
  </r>
  <r>
    <n v="3361"/>
    <x v="129"/>
    <x v="0"/>
    <d v="2024-07-05T00:00:00"/>
    <x v="1"/>
    <x v="0"/>
    <x v="0"/>
    <s v="Yes"/>
    <x v="0"/>
    <s v="Yes"/>
    <n v="20"/>
    <n v="15"/>
    <n v="50"/>
  </r>
  <r>
    <n v="3362"/>
    <x v="130"/>
    <x v="2"/>
    <d v="2024-07-06T00:00:00"/>
    <x v="0"/>
    <x v="2"/>
    <x v="1"/>
    <s v="No"/>
    <x v="1"/>
    <s v="Yes"/>
    <n v="20"/>
    <n v="15"/>
    <n v="15"/>
  </r>
  <r>
    <n v="3363"/>
    <x v="131"/>
    <x v="1"/>
    <d v="2024-07-07T00:00:00"/>
    <x v="1"/>
    <x v="1"/>
    <x v="0"/>
    <s v="No"/>
    <x v="1"/>
    <s v="No"/>
    <n v="0"/>
    <n v="1"/>
    <n v="4"/>
  </r>
  <r>
    <n v="3364"/>
    <x v="132"/>
    <x v="0"/>
    <d v="2024-07-08T00:00:00"/>
    <x v="0"/>
    <x v="0"/>
    <x v="2"/>
    <s v="Yes"/>
    <x v="0"/>
    <s v="Yes"/>
    <n v="20"/>
    <n v="7"/>
    <n v="58"/>
  </r>
  <r>
    <n v="3365"/>
    <x v="133"/>
    <x v="2"/>
    <d v="2024-07-09T00:00:00"/>
    <x v="1"/>
    <x v="2"/>
    <x v="0"/>
    <s v="No"/>
    <x v="1"/>
    <s v="Yes"/>
    <n v="20"/>
    <n v="10"/>
    <n v="20"/>
  </r>
  <r>
    <n v="3366"/>
    <x v="134"/>
    <x v="1"/>
    <d v="2024-07-10T00:00:00"/>
    <x v="0"/>
    <x v="1"/>
    <x v="0"/>
    <s v="No"/>
    <x v="1"/>
    <s v="No"/>
    <n v="0"/>
    <n v="0"/>
    <n v="5"/>
  </r>
  <r>
    <n v="3367"/>
    <x v="135"/>
    <x v="0"/>
    <d v="2024-07-11T00:00:00"/>
    <x v="1"/>
    <x v="0"/>
    <x v="2"/>
    <s v="Yes"/>
    <x v="0"/>
    <s v="Yes"/>
    <n v="20"/>
    <n v="7"/>
    <n v="58"/>
  </r>
  <r>
    <n v="3368"/>
    <x v="136"/>
    <x v="2"/>
    <d v="2024-07-12T00:00:00"/>
    <x v="0"/>
    <x v="2"/>
    <x v="1"/>
    <s v="No"/>
    <x v="1"/>
    <s v="Yes"/>
    <n v="20"/>
    <n v="10"/>
    <n v="20"/>
  </r>
  <r>
    <n v="3369"/>
    <x v="137"/>
    <x v="1"/>
    <d v="2024-07-13T00:00:00"/>
    <x v="1"/>
    <x v="1"/>
    <x v="2"/>
    <s v="No"/>
    <x v="1"/>
    <s v="No"/>
    <n v="0"/>
    <n v="1"/>
    <n v="4"/>
  </r>
  <r>
    <n v="3370"/>
    <x v="138"/>
    <x v="0"/>
    <d v="2024-07-14T00:00:00"/>
    <x v="0"/>
    <x v="0"/>
    <x v="0"/>
    <s v="Yes"/>
    <x v="0"/>
    <s v="Yes"/>
    <n v="20"/>
    <n v="15"/>
    <n v="50"/>
  </r>
  <r>
    <n v="3371"/>
    <x v="139"/>
    <x v="2"/>
    <d v="2024-07-15T00:00:00"/>
    <x v="1"/>
    <x v="2"/>
    <x v="0"/>
    <s v="No"/>
    <x v="1"/>
    <s v="Yes"/>
    <n v="20"/>
    <n v="5"/>
    <n v="25"/>
  </r>
  <r>
    <n v="3372"/>
    <x v="140"/>
    <x v="1"/>
    <d v="2024-07-16T00:00:00"/>
    <x v="0"/>
    <x v="1"/>
    <x v="1"/>
    <s v="No"/>
    <x v="1"/>
    <s v="No"/>
    <n v="0"/>
    <n v="0"/>
    <n v="5"/>
  </r>
  <r>
    <n v="3373"/>
    <x v="141"/>
    <x v="0"/>
    <d v="2024-07-17T00:00:00"/>
    <x v="1"/>
    <x v="0"/>
    <x v="2"/>
    <s v="Yes"/>
    <x v="0"/>
    <s v="Yes"/>
    <n v="20"/>
    <n v="20"/>
    <n v="45"/>
  </r>
  <r>
    <n v="3374"/>
    <x v="142"/>
    <x v="2"/>
    <d v="2024-07-18T00:00:00"/>
    <x v="0"/>
    <x v="2"/>
    <x v="2"/>
    <s v="No"/>
    <x v="1"/>
    <s v="Yes"/>
    <n v="20"/>
    <n v="12"/>
    <n v="18"/>
  </r>
  <r>
    <n v="3375"/>
    <x v="143"/>
    <x v="1"/>
    <d v="2024-07-19T00:00:00"/>
    <x v="1"/>
    <x v="1"/>
    <x v="0"/>
    <s v="No"/>
    <x v="1"/>
    <s v="No"/>
    <n v="0"/>
    <n v="2"/>
    <n v="3"/>
  </r>
  <r>
    <n v="3376"/>
    <x v="144"/>
    <x v="0"/>
    <d v="2024-07-20T00:00:00"/>
    <x v="0"/>
    <x v="0"/>
    <x v="1"/>
    <s v="Yes"/>
    <x v="0"/>
    <s v="Yes"/>
    <n v="20"/>
    <n v="5"/>
    <n v="60"/>
  </r>
  <r>
    <n v="3377"/>
    <x v="145"/>
    <x v="2"/>
    <d v="2024-07-21T00:00:00"/>
    <x v="1"/>
    <x v="2"/>
    <x v="0"/>
    <s v="No"/>
    <x v="1"/>
    <s v="Yes"/>
    <n v="20"/>
    <n v="10"/>
    <n v="20"/>
  </r>
  <r>
    <n v="3378"/>
    <x v="146"/>
    <x v="1"/>
    <d v="2024-07-22T00:00:00"/>
    <x v="0"/>
    <x v="1"/>
    <x v="2"/>
    <s v="No"/>
    <x v="1"/>
    <s v="No"/>
    <n v="0"/>
    <n v="0"/>
    <n v="5"/>
  </r>
  <r>
    <n v="3379"/>
    <x v="147"/>
    <x v="0"/>
    <d v="2024-07-23T00:00:00"/>
    <x v="1"/>
    <x v="0"/>
    <x v="0"/>
    <s v="Yes"/>
    <x v="0"/>
    <s v="Yes"/>
    <n v="20"/>
    <n v="3"/>
    <n v="62"/>
  </r>
  <r>
    <n v="3380"/>
    <x v="148"/>
    <x v="2"/>
    <d v="2024-07-24T00:00:00"/>
    <x v="0"/>
    <x v="2"/>
    <x v="1"/>
    <s v="No"/>
    <x v="1"/>
    <s v="Yes"/>
    <n v="20"/>
    <n v="15"/>
    <n v="15"/>
  </r>
  <r>
    <n v="3381"/>
    <x v="149"/>
    <x v="1"/>
    <d v="2024-07-25T00:00:00"/>
    <x v="1"/>
    <x v="1"/>
    <x v="0"/>
    <s v="No"/>
    <x v="1"/>
    <s v="No"/>
    <n v="0"/>
    <n v="1"/>
    <n v="4"/>
  </r>
  <r>
    <n v="3382"/>
    <x v="150"/>
    <x v="0"/>
    <d v="2024-07-26T00:00:00"/>
    <x v="0"/>
    <x v="0"/>
    <x v="2"/>
    <s v="Yes"/>
    <x v="0"/>
    <s v="Yes"/>
    <n v="20"/>
    <n v="7"/>
    <n v="58"/>
  </r>
  <r>
    <n v="3383"/>
    <x v="151"/>
    <x v="2"/>
    <d v="2024-07-27T00:00:00"/>
    <x v="1"/>
    <x v="2"/>
    <x v="0"/>
    <s v="No"/>
    <x v="1"/>
    <s v="Yes"/>
    <n v="20"/>
    <n v="10"/>
    <n v="20"/>
  </r>
  <r>
    <n v="3384"/>
    <x v="152"/>
    <x v="1"/>
    <d v="2024-07-28T00:00:00"/>
    <x v="0"/>
    <x v="1"/>
    <x v="1"/>
    <s v="No"/>
    <x v="1"/>
    <s v="No"/>
    <n v="0"/>
    <n v="0"/>
    <n v="5"/>
  </r>
  <r>
    <n v="3385"/>
    <x v="153"/>
    <x v="0"/>
    <d v="2024-07-29T00:00:00"/>
    <x v="1"/>
    <x v="0"/>
    <x v="0"/>
    <s v="Yes"/>
    <x v="0"/>
    <s v="Yes"/>
    <n v="20"/>
    <n v="20"/>
    <n v="45"/>
  </r>
  <r>
    <n v="3386"/>
    <x v="154"/>
    <x v="2"/>
    <d v="2024-07-30T00:00:00"/>
    <x v="0"/>
    <x v="2"/>
    <x v="2"/>
    <s v="No"/>
    <x v="1"/>
    <s v="Yes"/>
    <n v="20"/>
    <n v="15"/>
    <n v="15"/>
  </r>
  <r>
    <n v="3387"/>
    <x v="155"/>
    <x v="1"/>
    <d v="2024-07-31T00:00:00"/>
    <x v="1"/>
    <x v="1"/>
    <x v="0"/>
    <s v="No"/>
    <x v="1"/>
    <s v="No"/>
    <n v="0"/>
    <n v="1"/>
    <n v="4"/>
  </r>
  <r>
    <n v="3388"/>
    <x v="156"/>
    <x v="0"/>
    <d v="2024-08-01T00:00:00"/>
    <x v="0"/>
    <x v="0"/>
    <x v="1"/>
    <s v="Yes"/>
    <x v="0"/>
    <s v="Yes"/>
    <n v="20"/>
    <n v="3"/>
    <n v="62"/>
  </r>
  <r>
    <n v="3389"/>
    <x v="157"/>
    <x v="2"/>
    <d v="2024-08-02T00:00:00"/>
    <x v="1"/>
    <x v="2"/>
    <x v="0"/>
    <s v="No"/>
    <x v="1"/>
    <s v="Yes"/>
    <n v="20"/>
    <n v="10"/>
    <n v="20"/>
  </r>
  <r>
    <n v="3390"/>
    <x v="158"/>
    <x v="1"/>
    <d v="2024-08-03T00:00:00"/>
    <x v="0"/>
    <x v="1"/>
    <x v="2"/>
    <s v="No"/>
    <x v="1"/>
    <s v="No"/>
    <n v="0"/>
    <n v="0"/>
    <n v="5"/>
  </r>
  <r>
    <n v="3391"/>
    <x v="58"/>
    <x v="0"/>
    <d v="2024-08-04T00:00:00"/>
    <x v="1"/>
    <x v="0"/>
    <x v="0"/>
    <s v="Yes"/>
    <x v="0"/>
    <s v="Yes"/>
    <n v="20"/>
    <n v="15"/>
    <n v="50"/>
  </r>
  <r>
    <n v="3392"/>
    <x v="159"/>
    <x v="2"/>
    <d v="2024-08-05T00:00:00"/>
    <x v="0"/>
    <x v="2"/>
    <x v="1"/>
    <s v="No"/>
    <x v="1"/>
    <s v="Yes"/>
    <n v="20"/>
    <n v="15"/>
    <n v="15"/>
  </r>
  <r>
    <n v="3393"/>
    <x v="160"/>
    <x v="1"/>
    <d v="2024-08-06T00:00:00"/>
    <x v="1"/>
    <x v="1"/>
    <x v="0"/>
    <s v="No"/>
    <x v="1"/>
    <s v="No"/>
    <n v="0"/>
    <n v="1"/>
    <n v="4"/>
  </r>
  <r>
    <n v="3394"/>
    <x v="161"/>
    <x v="0"/>
    <d v="2024-08-07T00:00:00"/>
    <x v="0"/>
    <x v="0"/>
    <x v="2"/>
    <s v="Yes"/>
    <x v="0"/>
    <s v="Yes"/>
    <n v="20"/>
    <n v="7"/>
    <n v="58"/>
  </r>
  <r>
    <n v="3395"/>
    <x v="162"/>
    <x v="2"/>
    <d v="2024-08-08T00:00:00"/>
    <x v="1"/>
    <x v="2"/>
    <x v="0"/>
    <s v="No"/>
    <x v="1"/>
    <s v="Yes"/>
    <n v="20"/>
    <n v="10"/>
    <n v="20"/>
  </r>
  <r>
    <n v="3396"/>
    <x v="163"/>
    <x v="1"/>
    <d v="2024-08-09T00:00:00"/>
    <x v="0"/>
    <x v="1"/>
    <x v="1"/>
    <s v="No"/>
    <x v="1"/>
    <s v="No"/>
    <n v="0"/>
    <n v="0"/>
    <n v="5"/>
  </r>
  <r>
    <n v="3397"/>
    <x v="90"/>
    <x v="0"/>
    <d v="2024-08-10T00:00:00"/>
    <x v="1"/>
    <x v="0"/>
    <x v="0"/>
    <s v="Yes"/>
    <x v="0"/>
    <s v="Yes"/>
    <n v="20"/>
    <n v="20"/>
    <n v="45"/>
  </r>
  <r>
    <n v="3398"/>
    <x v="164"/>
    <x v="2"/>
    <d v="2024-08-11T00:00:00"/>
    <x v="0"/>
    <x v="2"/>
    <x v="2"/>
    <s v="No"/>
    <x v="1"/>
    <s v="Yes"/>
    <n v="20"/>
    <n v="15"/>
    <n v="15"/>
  </r>
  <r>
    <n v="3399"/>
    <x v="165"/>
    <x v="1"/>
    <d v="2024-08-12T00:00:00"/>
    <x v="1"/>
    <x v="1"/>
    <x v="0"/>
    <s v="No"/>
    <x v="1"/>
    <s v="No"/>
    <n v="0"/>
    <n v="1"/>
    <n v="4"/>
  </r>
  <r>
    <n v="3400"/>
    <x v="166"/>
    <x v="0"/>
    <d v="2024-08-13T00:00:00"/>
    <x v="0"/>
    <x v="0"/>
    <x v="1"/>
    <s v="Yes"/>
    <x v="0"/>
    <s v="Yes"/>
    <n v="20"/>
    <n v="5"/>
    <n v="60"/>
  </r>
  <r>
    <n v="3401"/>
    <x v="167"/>
    <x v="2"/>
    <d v="2024-08-14T00:00:00"/>
    <x v="1"/>
    <x v="2"/>
    <x v="0"/>
    <s v="No"/>
    <x v="1"/>
    <s v="Yes"/>
    <n v="20"/>
    <n v="10"/>
    <n v="20"/>
  </r>
  <r>
    <n v="3402"/>
    <x v="168"/>
    <x v="1"/>
    <d v="2024-08-15T00:00:00"/>
    <x v="0"/>
    <x v="1"/>
    <x v="2"/>
    <s v="No"/>
    <x v="1"/>
    <s v="No"/>
    <n v="0"/>
    <n v="0"/>
    <n v="5"/>
  </r>
  <r>
    <n v="3403"/>
    <x v="169"/>
    <x v="0"/>
    <d v="2024-08-16T00:00:00"/>
    <x v="1"/>
    <x v="0"/>
    <x v="0"/>
    <s v="Yes"/>
    <x v="0"/>
    <s v="Yes"/>
    <n v="20"/>
    <n v="3"/>
    <n v="62"/>
  </r>
  <r>
    <n v="3404"/>
    <x v="170"/>
    <x v="2"/>
    <d v="2024-08-17T00:00:00"/>
    <x v="0"/>
    <x v="2"/>
    <x v="1"/>
    <s v="No"/>
    <x v="1"/>
    <s v="Yes"/>
    <n v="20"/>
    <n v="15"/>
    <n v="15"/>
  </r>
  <r>
    <n v="3405"/>
    <x v="171"/>
    <x v="1"/>
    <d v="2024-08-18T00:00:00"/>
    <x v="1"/>
    <x v="1"/>
    <x v="0"/>
    <s v="No"/>
    <x v="1"/>
    <s v="No"/>
    <n v="0"/>
    <n v="1"/>
    <n v="4"/>
  </r>
  <r>
    <n v="3406"/>
    <x v="172"/>
    <x v="1"/>
    <d v="2024-08-19T00:00:00"/>
    <x v="0"/>
    <x v="1"/>
    <x v="0"/>
    <s v="No"/>
    <x v="1"/>
    <s v="No"/>
    <n v="0"/>
    <n v="0"/>
    <n v="5"/>
  </r>
  <r>
    <n v="3407"/>
    <x v="173"/>
    <x v="0"/>
    <d v="2024-08-20T00:00:00"/>
    <x v="1"/>
    <x v="0"/>
    <x v="2"/>
    <s v="Yes"/>
    <x v="0"/>
    <s v="Yes"/>
    <n v="20"/>
    <n v="7"/>
    <n v="58"/>
  </r>
  <r>
    <n v="3408"/>
    <x v="174"/>
    <x v="2"/>
    <d v="2024-08-21T00:00:00"/>
    <x v="0"/>
    <x v="2"/>
    <x v="1"/>
    <s v="No"/>
    <x v="1"/>
    <s v="Yes"/>
    <n v="20"/>
    <n v="10"/>
    <n v="20"/>
  </r>
  <r>
    <n v="3409"/>
    <x v="175"/>
    <x v="1"/>
    <d v="2024-08-22T00:00:00"/>
    <x v="1"/>
    <x v="1"/>
    <x v="2"/>
    <s v="No"/>
    <x v="1"/>
    <s v="No"/>
    <n v="0"/>
    <n v="1"/>
    <n v="4"/>
  </r>
  <r>
    <n v="3410"/>
    <x v="176"/>
    <x v="0"/>
    <d v="2024-08-23T00:00:00"/>
    <x v="0"/>
    <x v="0"/>
    <x v="0"/>
    <s v="Yes"/>
    <x v="0"/>
    <s v="Yes"/>
    <n v="20"/>
    <n v="15"/>
    <n v="50"/>
  </r>
  <r>
    <n v="3411"/>
    <x v="177"/>
    <x v="2"/>
    <d v="2024-08-24T00:00:00"/>
    <x v="1"/>
    <x v="2"/>
    <x v="0"/>
    <s v="No"/>
    <x v="1"/>
    <s v="Yes"/>
    <n v="20"/>
    <n v="5"/>
    <n v="25"/>
  </r>
  <r>
    <n v="3412"/>
    <x v="178"/>
    <x v="1"/>
    <d v="2024-08-25T00:00:00"/>
    <x v="0"/>
    <x v="1"/>
    <x v="1"/>
    <s v="No"/>
    <x v="1"/>
    <s v="No"/>
    <n v="0"/>
    <n v="0"/>
    <n v="5"/>
  </r>
  <r>
    <n v="3413"/>
    <x v="179"/>
    <x v="0"/>
    <d v="2024-08-26T00:00:00"/>
    <x v="1"/>
    <x v="0"/>
    <x v="2"/>
    <s v="Yes"/>
    <x v="0"/>
    <s v="Yes"/>
    <n v="20"/>
    <n v="20"/>
    <n v="45"/>
  </r>
  <r>
    <n v="3414"/>
    <x v="180"/>
    <x v="2"/>
    <d v="2024-08-27T00:00:00"/>
    <x v="0"/>
    <x v="2"/>
    <x v="2"/>
    <s v="No"/>
    <x v="1"/>
    <s v="Yes"/>
    <n v="20"/>
    <n v="12"/>
    <n v="18"/>
  </r>
  <r>
    <n v="3415"/>
    <x v="181"/>
    <x v="1"/>
    <d v="2024-08-28T00:00:00"/>
    <x v="1"/>
    <x v="1"/>
    <x v="0"/>
    <s v="No"/>
    <x v="1"/>
    <s v="No"/>
    <n v="0"/>
    <n v="2"/>
    <n v="3"/>
  </r>
  <r>
    <n v="3416"/>
    <x v="182"/>
    <x v="0"/>
    <d v="2024-08-29T00:00:00"/>
    <x v="0"/>
    <x v="0"/>
    <x v="1"/>
    <s v="Yes"/>
    <x v="0"/>
    <s v="Yes"/>
    <n v="20"/>
    <n v="5"/>
    <n v="60"/>
  </r>
  <r>
    <n v="3417"/>
    <x v="183"/>
    <x v="2"/>
    <d v="2024-08-30T00:00:00"/>
    <x v="1"/>
    <x v="2"/>
    <x v="0"/>
    <s v="No"/>
    <x v="1"/>
    <s v="Yes"/>
    <n v="20"/>
    <n v="10"/>
    <n v="20"/>
  </r>
  <r>
    <n v="3418"/>
    <x v="184"/>
    <x v="1"/>
    <d v="2024-08-31T00:00:00"/>
    <x v="0"/>
    <x v="1"/>
    <x v="2"/>
    <s v="No"/>
    <x v="1"/>
    <s v="No"/>
    <n v="0"/>
    <n v="0"/>
    <n v="5"/>
  </r>
  <r>
    <n v="3419"/>
    <x v="185"/>
    <x v="0"/>
    <d v="2024-09-01T00:00:00"/>
    <x v="1"/>
    <x v="0"/>
    <x v="0"/>
    <s v="Yes"/>
    <x v="0"/>
    <s v="Yes"/>
    <n v="20"/>
    <n v="3"/>
    <n v="62"/>
  </r>
  <r>
    <n v="3420"/>
    <x v="186"/>
    <x v="2"/>
    <d v="2024-09-02T00:00:00"/>
    <x v="0"/>
    <x v="2"/>
    <x v="1"/>
    <s v="No"/>
    <x v="1"/>
    <s v="Yes"/>
    <n v="20"/>
    <n v="15"/>
    <n v="15"/>
  </r>
  <r>
    <n v="3421"/>
    <x v="15"/>
    <x v="1"/>
    <d v="2024-09-03T00:00:00"/>
    <x v="1"/>
    <x v="1"/>
    <x v="0"/>
    <s v="No"/>
    <x v="1"/>
    <s v="No"/>
    <n v="0"/>
    <n v="1"/>
    <n v="4"/>
  </r>
  <r>
    <n v="3422"/>
    <x v="187"/>
    <x v="0"/>
    <d v="2024-09-04T00:00:00"/>
    <x v="0"/>
    <x v="0"/>
    <x v="2"/>
    <s v="Yes"/>
    <x v="0"/>
    <s v="Yes"/>
    <n v="20"/>
    <n v="7"/>
    <n v="58"/>
  </r>
  <r>
    <n v="3423"/>
    <x v="188"/>
    <x v="2"/>
    <d v="2024-09-05T00:00:00"/>
    <x v="1"/>
    <x v="2"/>
    <x v="0"/>
    <s v="No"/>
    <x v="1"/>
    <s v="Yes"/>
    <n v="20"/>
    <n v="10"/>
    <n v="20"/>
  </r>
  <r>
    <n v="3424"/>
    <x v="14"/>
    <x v="1"/>
    <d v="2024-09-06T00:00:00"/>
    <x v="0"/>
    <x v="1"/>
    <x v="1"/>
    <s v="No"/>
    <x v="1"/>
    <s v="No"/>
    <n v="0"/>
    <n v="0"/>
    <n v="5"/>
  </r>
  <r>
    <n v="3425"/>
    <x v="189"/>
    <x v="0"/>
    <d v="2024-09-07T00:00:00"/>
    <x v="1"/>
    <x v="0"/>
    <x v="0"/>
    <s v="Yes"/>
    <x v="0"/>
    <s v="Yes"/>
    <n v="20"/>
    <n v="20"/>
    <n v="45"/>
  </r>
  <r>
    <n v="3426"/>
    <x v="167"/>
    <x v="2"/>
    <d v="2024-09-08T00:00:00"/>
    <x v="0"/>
    <x v="2"/>
    <x v="2"/>
    <s v="No"/>
    <x v="1"/>
    <s v="Yes"/>
    <n v="20"/>
    <n v="15"/>
    <n v="15"/>
  </r>
  <r>
    <n v="3427"/>
    <x v="190"/>
    <x v="1"/>
    <d v="2024-09-09T00:00:00"/>
    <x v="1"/>
    <x v="1"/>
    <x v="0"/>
    <s v="No"/>
    <x v="1"/>
    <s v="No"/>
    <n v="0"/>
    <n v="1"/>
    <n v="4"/>
  </r>
  <r>
    <n v="3428"/>
    <x v="191"/>
    <x v="0"/>
    <d v="2024-09-10T00:00:00"/>
    <x v="0"/>
    <x v="0"/>
    <x v="1"/>
    <s v="Yes"/>
    <x v="0"/>
    <s v="Yes"/>
    <n v="20"/>
    <n v="3"/>
    <n v="62"/>
  </r>
  <r>
    <n v="3429"/>
    <x v="192"/>
    <x v="2"/>
    <d v="2024-09-11T00:00:00"/>
    <x v="1"/>
    <x v="2"/>
    <x v="0"/>
    <s v="No"/>
    <x v="1"/>
    <s v="Yes"/>
    <n v="20"/>
    <n v="10"/>
    <n v="20"/>
  </r>
  <r>
    <n v="3430"/>
    <x v="193"/>
    <x v="1"/>
    <d v="2024-09-12T00:00:00"/>
    <x v="0"/>
    <x v="1"/>
    <x v="2"/>
    <s v="No"/>
    <x v="1"/>
    <s v="No"/>
    <n v="0"/>
    <n v="0"/>
    <n v="5"/>
  </r>
  <r>
    <n v="3431"/>
    <x v="194"/>
    <x v="0"/>
    <d v="2024-09-13T00:00:00"/>
    <x v="1"/>
    <x v="0"/>
    <x v="0"/>
    <s v="Yes"/>
    <x v="0"/>
    <s v="Yes"/>
    <n v="20"/>
    <n v="15"/>
    <n v="50"/>
  </r>
  <r>
    <n v="3432"/>
    <x v="195"/>
    <x v="2"/>
    <d v="2024-09-14T00:00:00"/>
    <x v="0"/>
    <x v="2"/>
    <x v="1"/>
    <s v="No"/>
    <x v="1"/>
    <s v="Yes"/>
    <n v="20"/>
    <n v="15"/>
    <n v="15"/>
  </r>
  <r>
    <n v="3433"/>
    <x v="196"/>
    <x v="1"/>
    <d v="2024-09-15T00:00:00"/>
    <x v="1"/>
    <x v="1"/>
    <x v="0"/>
    <s v="No"/>
    <x v="1"/>
    <s v="No"/>
    <n v="0"/>
    <n v="1"/>
    <n v="4"/>
  </r>
  <r>
    <n v="3434"/>
    <x v="197"/>
    <x v="0"/>
    <d v="2024-09-16T00:00:00"/>
    <x v="0"/>
    <x v="0"/>
    <x v="2"/>
    <s v="Yes"/>
    <x v="0"/>
    <s v="Yes"/>
    <n v="20"/>
    <n v="7"/>
    <n v="58"/>
  </r>
  <r>
    <n v="3435"/>
    <x v="198"/>
    <x v="2"/>
    <d v="2024-09-17T00:00:00"/>
    <x v="1"/>
    <x v="2"/>
    <x v="0"/>
    <s v="No"/>
    <x v="1"/>
    <s v="Yes"/>
    <n v="20"/>
    <n v="10"/>
    <n v="20"/>
  </r>
  <r>
    <n v="3436"/>
    <x v="199"/>
    <x v="1"/>
    <d v="2024-09-18T00:00:00"/>
    <x v="0"/>
    <x v="1"/>
    <x v="0"/>
    <s v="No"/>
    <x v="1"/>
    <s v="No"/>
    <n v="0"/>
    <n v="0"/>
    <n v="5"/>
  </r>
  <r>
    <n v="3437"/>
    <x v="200"/>
    <x v="0"/>
    <d v="2024-09-19T00:00:00"/>
    <x v="1"/>
    <x v="0"/>
    <x v="2"/>
    <s v="Yes"/>
    <x v="0"/>
    <s v="Yes"/>
    <n v="20"/>
    <n v="7"/>
    <n v="58"/>
  </r>
  <r>
    <n v="3438"/>
    <x v="201"/>
    <x v="2"/>
    <d v="2024-09-20T00:00:00"/>
    <x v="0"/>
    <x v="2"/>
    <x v="1"/>
    <s v="No"/>
    <x v="1"/>
    <s v="Yes"/>
    <n v="20"/>
    <n v="10"/>
    <n v="20"/>
  </r>
  <r>
    <n v="3439"/>
    <x v="202"/>
    <x v="1"/>
    <d v="2024-09-21T00:00:00"/>
    <x v="1"/>
    <x v="1"/>
    <x v="2"/>
    <s v="No"/>
    <x v="1"/>
    <s v="No"/>
    <n v="0"/>
    <n v="1"/>
    <n v="4"/>
  </r>
  <r>
    <n v="3440"/>
    <x v="203"/>
    <x v="0"/>
    <d v="2024-09-22T00:00:00"/>
    <x v="0"/>
    <x v="0"/>
    <x v="0"/>
    <s v="Yes"/>
    <x v="0"/>
    <s v="Yes"/>
    <n v="20"/>
    <n v="15"/>
    <n v="50"/>
  </r>
  <r>
    <n v="3441"/>
    <x v="204"/>
    <x v="2"/>
    <d v="2024-09-23T00:00:00"/>
    <x v="1"/>
    <x v="2"/>
    <x v="0"/>
    <s v="No"/>
    <x v="1"/>
    <s v="Yes"/>
    <n v="20"/>
    <n v="5"/>
    <n v="25"/>
  </r>
  <r>
    <n v="3442"/>
    <x v="205"/>
    <x v="1"/>
    <d v="2024-09-24T00:00:00"/>
    <x v="0"/>
    <x v="1"/>
    <x v="1"/>
    <s v="No"/>
    <x v="1"/>
    <s v="No"/>
    <n v="0"/>
    <n v="0"/>
    <n v="5"/>
  </r>
  <r>
    <n v="3443"/>
    <x v="206"/>
    <x v="0"/>
    <d v="2024-09-25T00:00:00"/>
    <x v="1"/>
    <x v="0"/>
    <x v="2"/>
    <s v="Yes"/>
    <x v="0"/>
    <s v="Yes"/>
    <n v="20"/>
    <n v="20"/>
    <n v="45"/>
  </r>
  <r>
    <n v="3444"/>
    <x v="207"/>
    <x v="2"/>
    <d v="2024-09-26T00:00:00"/>
    <x v="0"/>
    <x v="2"/>
    <x v="2"/>
    <s v="No"/>
    <x v="1"/>
    <s v="Yes"/>
    <n v="20"/>
    <n v="12"/>
    <n v="18"/>
  </r>
  <r>
    <n v="3445"/>
    <x v="37"/>
    <x v="1"/>
    <d v="2024-09-27T00:00:00"/>
    <x v="1"/>
    <x v="1"/>
    <x v="0"/>
    <s v="No"/>
    <x v="1"/>
    <s v="No"/>
    <n v="0"/>
    <n v="2"/>
    <n v="3"/>
  </r>
  <r>
    <n v="3446"/>
    <x v="208"/>
    <x v="0"/>
    <d v="2024-09-28T00:00:00"/>
    <x v="0"/>
    <x v="0"/>
    <x v="1"/>
    <s v="Yes"/>
    <x v="0"/>
    <s v="Yes"/>
    <n v="20"/>
    <n v="5"/>
    <n v="60"/>
  </r>
  <r>
    <n v="3447"/>
    <x v="209"/>
    <x v="2"/>
    <d v="2024-09-29T00:00:00"/>
    <x v="1"/>
    <x v="2"/>
    <x v="0"/>
    <s v="No"/>
    <x v="1"/>
    <s v="Yes"/>
    <n v="20"/>
    <n v="10"/>
    <n v="20"/>
  </r>
  <r>
    <n v="3448"/>
    <x v="210"/>
    <x v="1"/>
    <d v="2024-09-30T00:00:00"/>
    <x v="0"/>
    <x v="1"/>
    <x v="2"/>
    <s v="No"/>
    <x v="1"/>
    <s v="No"/>
    <n v="0"/>
    <n v="0"/>
    <n v="5"/>
  </r>
  <r>
    <n v="3449"/>
    <x v="211"/>
    <x v="0"/>
    <d v="2024-10-01T00:00:00"/>
    <x v="1"/>
    <x v="0"/>
    <x v="0"/>
    <s v="Yes"/>
    <x v="0"/>
    <s v="Yes"/>
    <n v="20"/>
    <n v="3"/>
    <n v="62"/>
  </r>
  <r>
    <n v="3450"/>
    <x v="212"/>
    <x v="2"/>
    <d v="2024-10-02T00:00:00"/>
    <x v="0"/>
    <x v="2"/>
    <x v="1"/>
    <s v="No"/>
    <x v="1"/>
    <s v="Yes"/>
    <n v="20"/>
    <n v="15"/>
    <n v="15"/>
  </r>
  <r>
    <n v="3451"/>
    <x v="213"/>
    <x v="1"/>
    <d v="2024-10-03T00:00:00"/>
    <x v="1"/>
    <x v="1"/>
    <x v="0"/>
    <s v="No"/>
    <x v="1"/>
    <s v="No"/>
    <n v="0"/>
    <n v="1"/>
    <n v="4"/>
  </r>
  <r>
    <n v="3452"/>
    <x v="191"/>
    <x v="0"/>
    <d v="2024-10-04T00:00:00"/>
    <x v="0"/>
    <x v="0"/>
    <x v="2"/>
    <s v="Yes"/>
    <x v="0"/>
    <s v="Yes"/>
    <n v="20"/>
    <n v="7"/>
    <n v="58"/>
  </r>
  <r>
    <n v="3453"/>
    <x v="45"/>
    <x v="2"/>
    <d v="2024-10-05T00:00:00"/>
    <x v="1"/>
    <x v="2"/>
    <x v="0"/>
    <s v="No"/>
    <x v="1"/>
    <s v="Yes"/>
    <n v="20"/>
    <n v="10"/>
    <n v="20"/>
  </r>
  <r>
    <n v="3454"/>
    <x v="214"/>
    <x v="1"/>
    <d v="2024-10-06T00:00:00"/>
    <x v="0"/>
    <x v="1"/>
    <x v="1"/>
    <s v="No"/>
    <x v="1"/>
    <s v="No"/>
    <n v="0"/>
    <n v="0"/>
    <n v="5"/>
  </r>
  <r>
    <n v="3455"/>
    <x v="215"/>
    <x v="0"/>
    <d v="2024-10-07T00:00:00"/>
    <x v="1"/>
    <x v="0"/>
    <x v="0"/>
    <s v="Yes"/>
    <x v="0"/>
    <s v="Yes"/>
    <n v="20"/>
    <n v="20"/>
    <n v="45"/>
  </r>
  <r>
    <n v="3456"/>
    <x v="216"/>
    <x v="2"/>
    <d v="2024-10-08T00:00:00"/>
    <x v="0"/>
    <x v="2"/>
    <x v="2"/>
    <s v="No"/>
    <x v="1"/>
    <s v="Yes"/>
    <n v="20"/>
    <n v="15"/>
    <n v="15"/>
  </r>
  <r>
    <n v="3457"/>
    <x v="217"/>
    <x v="1"/>
    <d v="2024-10-09T00:00:00"/>
    <x v="1"/>
    <x v="1"/>
    <x v="0"/>
    <s v="No"/>
    <x v="1"/>
    <s v="No"/>
    <n v="0"/>
    <n v="1"/>
    <n v="4"/>
  </r>
  <r>
    <n v="3458"/>
    <x v="218"/>
    <x v="0"/>
    <d v="2024-10-10T00:00:00"/>
    <x v="0"/>
    <x v="0"/>
    <x v="1"/>
    <s v="Yes"/>
    <x v="0"/>
    <s v="Yes"/>
    <n v="20"/>
    <n v="3"/>
    <n v="62"/>
  </r>
  <r>
    <n v="3459"/>
    <x v="219"/>
    <x v="2"/>
    <d v="2024-10-11T00:00:00"/>
    <x v="1"/>
    <x v="2"/>
    <x v="0"/>
    <s v="No"/>
    <x v="1"/>
    <s v="Yes"/>
    <n v="20"/>
    <n v="10"/>
    <n v="20"/>
  </r>
  <r>
    <n v="3460"/>
    <x v="127"/>
    <x v="1"/>
    <d v="2024-10-12T00:00:00"/>
    <x v="0"/>
    <x v="1"/>
    <x v="2"/>
    <s v="No"/>
    <x v="1"/>
    <s v="No"/>
    <n v="0"/>
    <n v="0"/>
    <n v="5"/>
  </r>
  <r>
    <n v="3461"/>
    <x v="220"/>
    <x v="0"/>
    <d v="2024-10-13T00:00:00"/>
    <x v="1"/>
    <x v="0"/>
    <x v="0"/>
    <s v="Yes"/>
    <x v="0"/>
    <s v="Yes"/>
    <n v="20"/>
    <n v="15"/>
    <n v="50"/>
  </r>
  <r>
    <n v="3462"/>
    <x v="221"/>
    <x v="2"/>
    <d v="2024-10-14T00:00:00"/>
    <x v="0"/>
    <x v="2"/>
    <x v="1"/>
    <s v="No"/>
    <x v="1"/>
    <s v="Yes"/>
    <n v="20"/>
    <n v="15"/>
    <n v="15"/>
  </r>
  <r>
    <n v="3463"/>
    <x v="222"/>
    <x v="1"/>
    <d v="2024-10-15T00:00:00"/>
    <x v="1"/>
    <x v="1"/>
    <x v="0"/>
    <s v="No"/>
    <x v="1"/>
    <s v="No"/>
    <n v="0"/>
    <n v="1"/>
    <n v="4"/>
  </r>
  <r>
    <n v="3464"/>
    <x v="223"/>
    <x v="0"/>
    <d v="2024-10-16T00:00:00"/>
    <x v="0"/>
    <x v="0"/>
    <x v="2"/>
    <s v="Yes"/>
    <x v="0"/>
    <s v="Yes"/>
    <n v="20"/>
    <n v="7"/>
    <n v="58"/>
  </r>
  <r>
    <n v="3465"/>
    <x v="224"/>
    <x v="2"/>
    <d v="2024-10-17T00:00:00"/>
    <x v="1"/>
    <x v="2"/>
    <x v="0"/>
    <s v="No"/>
    <x v="1"/>
    <s v="Yes"/>
    <n v="20"/>
    <n v="10"/>
    <n v="20"/>
  </r>
  <r>
    <n v="3466"/>
    <x v="225"/>
    <x v="1"/>
    <d v="2024-10-18T00:00:00"/>
    <x v="0"/>
    <x v="1"/>
    <x v="1"/>
    <s v="No"/>
    <x v="1"/>
    <s v="No"/>
    <n v="0"/>
    <n v="0"/>
    <n v="5"/>
  </r>
  <r>
    <n v="3467"/>
    <x v="226"/>
    <x v="0"/>
    <d v="2024-10-19T00:00:00"/>
    <x v="1"/>
    <x v="0"/>
    <x v="0"/>
    <s v="Yes"/>
    <x v="0"/>
    <s v="Yes"/>
    <n v="20"/>
    <n v="15"/>
    <n v="50"/>
  </r>
  <r>
    <n v="3468"/>
    <x v="227"/>
    <x v="2"/>
    <d v="2024-10-20T00:00:00"/>
    <x v="0"/>
    <x v="2"/>
    <x v="2"/>
    <s v="No"/>
    <x v="1"/>
    <s v="Yes"/>
    <n v="20"/>
    <n v="12"/>
    <n v="18"/>
  </r>
  <r>
    <n v="3469"/>
    <x v="228"/>
    <x v="1"/>
    <d v="2024-10-21T00:00:00"/>
    <x v="1"/>
    <x v="1"/>
    <x v="0"/>
    <s v="No"/>
    <x v="1"/>
    <s v="No"/>
    <n v="0"/>
    <n v="2"/>
    <n v="3"/>
  </r>
  <r>
    <n v="3470"/>
    <x v="229"/>
    <x v="0"/>
    <d v="2024-10-22T00:00:00"/>
    <x v="0"/>
    <x v="0"/>
    <x v="1"/>
    <s v="Yes"/>
    <x v="0"/>
    <s v="Yes"/>
    <n v="20"/>
    <n v="5"/>
    <n v="60"/>
  </r>
  <r>
    <n v="3471"/>
    <x v="230"/>
    <x v="2"/>
    <d v="2024-10-23T00:00:00"/>
    <x v="1"/>
    <x v="2"/>
    <x v="0"/>
    <s v="No"/>
    <x v="1"/>
    <s v="Yes"/>
    <n v="20"/>
    <n v="10"/>
    <n v="20"/>
  </r>
  <r>
    <n v="3472"/>
    <x v="231"/>
    <x v="1"/>
    <d v="2024-10-24T00:00:00"/>
    <x v="0"/>
    <x v="1"/>
    <x v="2"/>
    <s v="No"/>
    <x v="1"/>
    <s v="No"/>
    <n v="0"/>
    <n v="0"/>
    <n v="5"/>
  </r>
  <r>
    <n v="3473"/>
    <x v="140"/>
    <x v="0"/>
    <d v="2024-10-25T00:00:00"/>
    <x v="1"/>
    <x v="0"/>
    <x v="0"/>
    <s v="Yes"/>
    <x v="0"/>
    <s v="Yes"/>
    <n v="20"/>
    <n v="3"/>
    <n v="62"/>
  </r>
  <r>
    <n v="3474"/>
    <x v="232"/>
    <x v="2"/>
    <d v="2024-10-26T00:00:00"/>
    <x v="0"/>
    <x v="2"/>
    <x v="1"/>
    <s v="No"/>
    <x v="1"/>
    <s v="Yes"/>
    <n v="20"/>
    <n v="15"/>
    <n v="15"/>
  </r>
  <r>
    <n v="3475"/>
    <x v="233"/>
    <x v="1"/>
    <d v="2024-10-27T00:00:00"/>
    <x v="1"/>
    <x v="1"/>
    <x v="0"/>
    <s v="No"/>
    <x v="1"/>
    <s v="No"/>
    <n v="0"/>
    <n v="1"/>
    <n v="4"/>
  </r>
  <r>
    <n v="3476"/>
    <x v="234"/>
    <x v="0"/>
    <d v="2024-10-28T00:00:00"/>
    <x v="0"/>
    <x v="0"/>
    <x v="2"/>
    <s v="Yes"/>
    <x v="0"/>
    <s v="Yes"/>
    <n v="20"/>
    <n v="7"/>
    <n v="58"/>
  </r>
  <r>
    <n v="3477"/>
    <x v="235"/>
    <x v="2"/>
    <d v="2024-10-29T00:00:00"/>
    <x v="1"/>
    <x v="2"/>
    <x v="0"/>
    <s v="No"/>
    <x v="1"/>
    <s v="Yes"/>
    <n v="20"/>
    <n v="10"/>
    <n v="20"/>
  </r>
  <r>
    <n v="3478"/>
    <x v="236"/>
    <x v="1"/>
    <d v="2024-10-30T00:00:00"/>
    <x v="0"/>
    <x v="1"/>
    <x v="1"/>
    <s v="No"/>
    <x v="1"/>
    <s v="No"/>
    <n v="0"/>
    <n v="0"/>
    <n v="5"/>
  </r>
  <r>
    <n v="3479"/>
    <x v="237"/>
    <x v="0"/>
    <d v="2024-10-31T00:00:00"/>
    <x v="1"/>
    <x v="0"/>
    <x v="0"/>
    <s v="Yes"/>
    <x v="0"/>
    <s v="Yes"/>
    <n v="20"/>
    <n v="20"/>
    <n v="45"/>
  </r>
  <r>
    <n v="3480"/>
    <x v="238"/>
    <x v="2"/>
    <d v="2024-11-01T00:00:00"/>
    <x v="0"/>
    <x v="2"/>
    <x v="2"/>
    <s v="No"/>
    <x v="1"/>
    <s v="Yes"/>
    <n v="20"/>
    <n v="15"/>
    <n v="15"/>
  </r>
  <r>
    <n v="3481"/>
    <x v="239"/>
    <x v="1"/>
    <d v="2024-11-02T00:00:00"/>
    <x v="1"/>
    <x v="1"/>
    <x v="0"/>
    <s v="No"/>
    <x v="1"/>
    <s v="No"/>
    <n v="0"/>
    <n v="1"/>
    <n v="4"/>
  </r>
  <r>
    <n v="3482"/>
    <x v="240"/>
    <x v="0"/>
    <d v="2024-11-03T00:00:00"/>
    <x v="0"/>
    <x v="0"/>
    <x v="1"/>
    <s v="Yes"/>
    <x v="0"/>
    <s v="Yes"/>
    <n v="20"/>
    <n v="3"/>
    <n v="62"/>
  </r>
  <r>
    <n v="3483"/>
    <x v="241"/>
    <x v="2"/>
    <d v="2024-11-04T00:00:00"/>
    <x v="1"/>
    <x v="2"/>
    <x v="0"/>
    <s v="No"/>
    <x v="1"/>
    <s v="Yes"/>
    <n v="20"/>
    <n v="10"/>
    <n v="20"/>
  </r>
  <r>
    <n v="3484"/>
    <x v="242"/>
    <x v="1"/>
    <d v="2024-11-05T00:00:00"/>
    <x v="0"/>
    <x v="1"/>
    <x v="2"/>
    <s v="No"/>
    <x v="1"/>
    <s v="No"/>
    <n v="0"/>
    <n v="0"/>
    <n v="5"/>
  </r>
  <r>
    <n v="3485"/>
    <x v="243"/>
    <x v="0"/>
    <d v="2024-11-06T00:00:00"/>
    <x v="1"/>
    <x v="0"/>
    <x v="0"/>
    <s v="Yes"/>
    <x v="0"/>
    <s v="Yes"/>
    <n v="20"/>
    <n v="15"/>
    <n v="50"/>
  </r>
  <r>
    <n v="3486"/>
    <x v="244"/>
    <x v="1"/>
    <d v="2024-11-07T00:00:00"/>
    <x v="0"/>
    <x v="1"/>
    <x v="0"/>
    <s v="No"/>
    <x v="1"/>
    <s v="No"/>
    <n v="0"/>
    <n v="0"/>
    <n v="5"/>
  </r>
  <r>
    <n v="3487"/>
    <x v="245"/>
    <x v="0"/>
    <d v="2024-11-08T00:00:00"/>
    <x v="1"/>
    <x v="0"/>
    <x v="2"/>
    <s v="Yes"/>
    <x v="0"/>
    <s v="Yes"/>
    <n v="20"/>
    <n v="7"/>
    <n v="58"/>
  </r>
  <r>
    <n v="3488"/>
    <x v="246"/>
    <x v="2"/>
    <d v="2024-11-09T00:00:00"/>
    <x v="0"/>
    <x v="2"/>
    <x v="1"/>
    <s v="No"/>
    <x v="1"/>
    <s v="Yes"/>
    <n v="20"/>
    <n v="10"/>
    <n v="20"/>
  </r>
  <r>
    <n v="3489"/>
    <x v="247"/>
    <x v="1"/>
    <d v="2024-11-10T00:00:00"/>
    <x v="1"/>
    <x v="1"/>
    <x v="2"/>
    <s v="No"/>
    <x v="1"/>
    <s v="No"/>
    <n v="0"/>
    <n v="1"/>
    <n v="4"/>
  </r>
  <r>
    <n v="3490"/>
    <x v="248"/>
    <x v="0"/>
    <d v="2024-11-11T00:00:00"/>
    <x v="0"/>
    <x v="0"/>
    <x v="0"/>
    <s v="Yes"/>
    <x v="0"/>
    <s v="Yes"/>
    <n v="20"/>
    <n v="15"/>
    <n v="50"/>
  </r>
  <r>
    <n v="3491"/>
    <x v="249"/>
    <x v="2"/>
    <d v="2024-11-12T00:00:00"/>
    <x v="1"/>
    <x v="2"/>
    <x v="0"/>
    <s v="No"/>
    <x v="1"/>
    <s v="Yes"/>
    <n v="20"/>
    <n v="5"/>
    <n v="25"/>
  </r>
  <r>
    <n v="3492"/>
    <x v="250"/>
    <x v="1"/>
    <d v="2024-11-13T00:00:00"/>
    <x v="0"/>
    <x v="1"/>
    <x v="1"/>
    <s v="No"/>
    <x v="1"/>
    <s v="No"/>
    <n v="0"/>
    <n v="0"/>
    <n v="5"/>
  </r>
  <r>
    <n v="3493"/>
    <x v="251"/>
    <x v="0"/>
    <d v="2024-11-14T00:00:00"/>
    <x v="1"/>
    <x v="0"/>
    <x v="2"/>
    <s v="Yes"/>
    <x v="0"/>
    <s v="Yes"/>
    <n v="20"/>
    <n v="20"/>
    <n v="45"/>
  </r>
  <r>
    <n v="3494"/>
    <x v="252"/>
    <x v="2"/>
    <d v="2024-11-15T00:00:00"/>
    <x v="0"/>
    <x v="2"/>
    <x v="2"/>
    <s v="No"/>
    <x v="1"/>
    <s v="Yes"/>
    <n v="20"/>
    <n v="12"/>
    <n v="18"/>
  </r>
  <r>
    <n v="3495"/>
    <x v="253"/>
    <x v="1"/>
    <d v="2024-11-16T00:00:00"/>
    <x v="1"/>
    <x v="1"/>
    <x v="0"/>
    <s v="No"/>
    <x v="1"/>
    <s v="No"/>
    <n v="0"/>
    <n v="2"/>
    <n v="3"/>
  </r>
  <r>
    <n v="3496"/>
    <x v="254"/>
    <x v="0"/>
    <d v="2024-11-17T00:00:00"/>
    <x v="0"/>
    <x v="0"/>
    <x v="1"/>
    <s v="Yes"/>
    <x v="0"/>
    <s v="Yes"/>
    <n v="20"/>
    <n v="5"/>
    <n v="60"/>
  </r>
  <r>
    <n v="3497"/>
    <x v="255"/>
    <x v="2"/>
    <d v="2024-11-18T00:00:00"/>
    <x v="1"/>
    <x v="2"/>
    <x v="0"/>
    <s v="No"/>
    <x v="1"/>
    <s v="Yes"/>
    <n v="20"/>
    <n v="10"/>
    <n v="20"/>
  </r>
  <r>
    <n v="3498"/>
    <x v="256"/>
    <x v="1"/>
    <d v="2024-11-19T00:00:00"/>
    <x v="0"/>
    <x v="1"/>
    <x v="2"/>
    <s v="No"/>
    <x v="1"/>
    <s v="No"/>
    <n v="0"/>
    <n v="0"/>
    <n v="5"/>
  </r>
  <r>
    <n v="3499"/>
    <x v="257"/>
    <x v="0"/>
    <d v="2024-11-20T00:00:00"/>
    <x v="1"/>
    <x v="0"/>
    <x v="0"/>
    <s v="Yes"/>
    <x v="0"/>
    <s v="Yes"/>
    <n v="20"/>
    <n v="3"/>
    <n v="62"/>
  </r>
  <r>
    <n v="3500"/>
    <x v="258"/>
    <x v="2"/>
    <d v="2024-11-21T00:00:00"/>
    <x v="0"/>
    <x v="2"/>
    <x v="1"/>
    <s v="No"/>
    <x v="1"/>
    <s v="Yes"/>
    <n v="20"/>
    <n v="15"/>
    <n v="15"/>
  </r>
  <r>
    <n v="3501"/>
    <x v="259"/>
    <x v="1"/>
    <d v="2024-11-22T00:00:00"/>
    <x v="1"/>
    <x v="1"/>
    <x v="0"/>
    <s v="No"/>
    <x v="1"/>
    <s v="No"/>
    <n v="0"/>
    <n v="1"/>
    <n v="4"/>
  </r>
  <r>
    <n v="3502"/>
    <x v="260"/>
    <x v="0"/>
    <d v="2024-11-23T00:00:00"/>
    <x v="0"/>
    <x v="0"/>
    <x v="2"/>
    <s v="Yes"/>
    <x v="0"/>
    <s v="Yes"/>
    <n v="20"/>
    <n v="7"/>
    <n v="58"/>
  </r>
  <r>
    <n v="3503"/>
    <x v="119"/>
    <x v="2"/>
    <d v="2024-11-24T00:00:00"/>
    <x v="1"/>
    <x v="2"/>
    <x v="0"/>
    <s v="No"/>
    <x v="1"/>
    <s v="Yes"/>
    <n v="20"/>
    <n v="10"/>
    <n v="20"/>
  </r>
  <r>
    <n v="3504"/>
    <x v="261"/>
    <x v="1"/>
    <d v="2024-11-25T00:00:00"/>
    <x v="0"/>
    <x v="1"/>
    <x v="1"/>
    <s v="No"/>
    <x v="1"/>
    <s v="No"/>
    <n v="0"/>
    <n v="0"/>
    <n v="5"/>
  </r>
  <r>
    <n v="3505"/>
    <x v="262"/>
    <x v="0"/>
    <d v="2024-11-26T00:00:00"/>
    <x v="1"/>
    <x v="0"/>
    <x v="0"/>
    <s v="Yes"/>
    <x v="0"/>
    <s v="Yes"/>
    <n v="20"/>
    <n v="20"/>
    <n v="45"/>
  </r>
  <r>
    <n v="3506"/>
    <x v="263"/>
    <x v="2"/>
    <d v="2024-11-27T00:00:00"/>
    <x v="0"/>
    <x v="2"/>
    <x v="2"/>
    <s v="No"/>
    <x v="1"/>
    <s v="Yes"/>
    <n v="20"/>
    <n v="15"/>
    <n v="15"/>
  </r>
  <r>
    <n v="3507"/>
    <x v="264"/>
    <x v="1"/>
    <d v="2024-11-28T00:00:00"/>
    <x v="1"/>
    <x v="1"/>
    <x v="0"/>
    <s v="No"/>
    <x v="1"/>
    <s v="No"/>
    <n v="0"/>
    <n v="1"/>
    <n v="4"/>
  </r>
  <r>
    <n v="3508"/>
    <x v="265"/>
    <x v="0"/>
    <d v="2024-11-29T00:00:00"/>
    <x v="0"/>
    <x v="0"/>
    <x v="1"/>
    <s v="Yes"/>
    <x v="0"/>
    <s v="Yes"/>
    <n v="20"/>
    <n v="3"/>
    <n v="62"/>
  </r>
  <r>
    <n v="3509"/>
    <x v="266"/>
    <x v="2"/>
    <d v="2024-11-30T00:00:00"/>
    <x v="1"/>
    <x v="2"/>
    <x v="0"/>
    <s v="No"/>
    <x v="1"/>
    <s v="Yes"/>
    <n v="20"/>
    <n v="10"/>
    <n v="20"/>
  </r>
  <r>
    <n v="3510"/>
    <x v="267"/>
    <x v="1"/>
    <d v="2024-12-01T00:00:00"/>
    <x v="0"/>
    <x v="1"/>
    <x v="2"/>
    <s v="No"/>
    <x v="1"/>
    <s v="No"/>
    <n v="0"/>
    <n v="0"/>
    <n v="5"/>
  </r>
  <r>
    <n v="3511"/>
    <x v="268"/>
    <x v="0"/>
    <d v="2024-12-02T00:00:00"/>
    <x v="1"/>
    <x v="0"/>
    <x v="0"/>
    <s v="Yes"/>
    <x v="0"/>
    <s v="Yes"/>
    <n v="20"/>
    <n v="15"/>
    <n v="50"/>
  </r>
  <r>
    <n v="3512"/>
    <x v="269"/>
    <x v="2"/>
    <d v="2024-12-03T00:00:00"/>
    <x v="0"/>
    <x v="2"/>
    <x v="1"/>
    <s v="No"/>
    <x v="1"/>
    <s v="Yes"/>
    <n v="20"/>
    <n v="15"/>
    <n v="15"/>
  </r>
  <r>
    <n v="3513"/>
    <x v="270"/>
    <x v="1"/>
    <d v="2024-12-04T00:00:00"/>
    <x v="1"/>
    <x v="1"/>
    <x v="0"/>
    <s v="No"/>
    <x v="1"/>
    <s v="No"/>
    <n v="0"/>
    <n v="1"/>
    <n v="4"/>
  </r>
  <r>
    <n v="3514"/>
    <x v="271"/>
    <x v="0"/>
    <d v="2024-12-05T00:00:00"/>
    <x v="0"/>
    <x v="0"/>
    <x v="2"/>
    <s v="Yes"/>
    <x v="0"/>
    <s v="Yes"/>
    <n v="20"/>
    <n v="7"/>
    <n v="58"/>
  </r>
  <r>
    <n v="3515"/>
    <x v="130"/>
    <x v="2"/>
    <d v="2024-12-06T00:00:00"/>
    <x v="1"/>
    <x v="2"/>
    <x v="0"/>
    <s v="No"/>
    <x v="1"/>
    <s v="Yes"/>
    <n v="20"/>
    <n v="10"/>
    <n v="20"/>
  </r>
  <r>
    <n v="3516"/>
    <x v="131"/>
    <x v="1"/>
    <d v="2024-12-07T00:00:00"/>
    <x v="0"/>
    <x v="1"/>
    <x v="1"/>
    <s v="No"/>
    <x v="1"/>
    <s v="No"/>
    <n v="0"/>
    <n v="0"/>
    <n v="5"/>
  </r>
  <r>
    <n v="3517"/>
    <x v="181"/>
    <x v="0"/>
    <d v="2024-12-08T00:00:00"/>
    <x v="1"/>
    <x v="0"/>
    <x v="0"/>
    <s v="Yes"/>
    <x v="0"/>
    <s v="Yes"/>
    <n v="20"/>
    <n v="20"/>
    <n v="45"/>
  </r>
  <r>
    <n v="3518"/>
    <x v="272"/>
    <x v="2"/>
    <d v="2024-12-09T00:00:00"/>
    <x v="0"/>
    <x v="2"/>
    <x v="2"/>
    <s v="No"/>
    <x v="1"/>
    <s v="Yes"/>
    <n v="20"/>
    <n v="12"/>
    <n v="18"/>
  </r>
  <r>
    <n v="3519"/>
    <x v="273"/>
    <x v="1"/>
    <d v="2024-12-10T00:00:00"/>
    <x v="1"/>
    <x v="1"/>
    <x v="0"/>
    <s v="No"/>
    <x v="1"/>
    <s v="No"/>
    <n v="0"/>
    <n v="2"/>
    <n v="3"/>
  </r>
  <r>
    <n v="3520"/>
    <x v="274"/>
    <x v="0"/>
    <d v="2024-12-11T00:00:00"/>
    <x v="0"/>
    <x v="0"/>
    <x v="1"/>
    <s v="Yes"/>
    <x v="0"/>
    <s v="Yes"/>
    <n v="20"/>
    <n v="5"/>
    <n v="60"/>
  </r>
  <r>
    <n v="3521"/>
    <x v="275"/>
    <x v="2"/>
    <d v="2024-12-12T00:00:00"/>
    <x v="1"/>
    <x v="2"/>
    <x v="0"/>
    <s v="No"/>
    <x v="1"/>
    <s v="Yes"/>
    <n v="20"/>
    <n v="10"/>
    <n v="20"/>
  </r>
  <r>
    <n v="3522"/>
    <x v="276"/>
    <x v="1"/>
    <d v="2024-12-13T00:00:00"/>
    <x v="0"/>
    <x v="1"/>
    <x v="2"/>
    <s v="No"/>
    <x v="1"/>
    <s v="No"/>
    <n v="0"/>
    <n v="0"/>
    <n v="5"/>
  </r>
  <r>
    <n v="3523"/>
    <x v="277"/>
    <x v="0"/>
    <d v="2024-12-14T00:00:00"/>
    <x v="1"/>
    <x v="0"/>
    <x v="0"/>
    <s v="Yes"/>
    <x v="0"/>
    <s v="Yes"/>
    <n v="20"/>
    <n v="3"/>
    <n v="62"/>
  </r>
  <r>
    <n v="3524"/>
    <x v="278"/>
    <x v="2"/>
    <d v="2024-12-15T00:00:00"/>
    <x v="0"/>
    <x v="2"/>
    <x v="1"/>
    <s v="No"/>
    <x v="1"/>
    <s v="Yes"/>
    <n v="20"/>
    <n v="15"/>
    <n v="15"/>
  </r>
  <r>
    <n v="3525"/>
    <x v="279"/>
    <x v="1"/>
    <d v="2024-12-16T00:00:00"/>
    <x v="1"/>
    <x v="1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4E55A-2DE2-4642-829E-1D71F8E059EB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1:C3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A3F228-8AC3-4FB5-A5DE-DFF2234537E5}" name="tbl_EAsesonpass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A410DC-E0B5-4CD2-9CD7-25B97152CCF9}" name="tbl_annua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0:C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3B226D0-CE40-4215-853B-4F8EC6B67DAA}" sourceName="Subscription Type">
  <pivotTables>
    <pivotTable tabId="3" name="tbl_annual_total"/>
    <pivotTable tabId="3" name="tbl_EAsesonpasstotal"/>
    <pivotTable tabId="3" name="Tabela dinâmica3"/>
  </pivotTables>
  <data>
    <tabular pivotCacheId="206196845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42AC155-42EC-4A7E-B848-D442F9098B10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4" zoomScaleNormal="100" workbookViewId="0">
      <selection activeCell="E35" sqref="E3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35" zoomScale="90" zoomScaleNormal="90" workbookViewId="0">
      <selection activeCell="E35" sqref="E3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6"/>
  <sheetViews>
    <sheetView showGridLines="0" topLeftCell="A16" workbookViewId="0">
      <selection activeCell="E35" sqref="E35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7.710937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3" x14ac:dyDescent="0.25">
      <c r="B3" t="s">
        <v>313</v>
      </c>
    </row>
    <row r="5" spans="2:3" x14ac:dyDescent="0.25">
      <c r="B5" t="s">
        <v>317</v>
      </c>
    </row>
    <row r="6" spans="2:3" x14ac:dyDescent="0.25">
      <c r="B6" t="s">
        <v>318</v>
      </c>
    </row>
    <row r="8" spans="2:3" x14ac:dyDescent="0.25">
      <c r="B8" s="13" t="s">
        <v>16</v>
      </c>
      <c r="C8" t="s">
        <v>24</v>
      </c>
    </row>
    <row r="10" spans="2:3" x14ac:dyDescent="0.25">
      <c r="B10" s="13" t="s">
        <v>315</v>
      </c>
      <c r="C10" t="s">
        <v>314</v>
      </c>
    </row>
    <row r="11" spans="2:3" x14ac:dyDescent="0.25">
      <c r="B11" s="14" t="s">
        <v>23</v>
      </c>
      <c r="C11" s="12">
        <v>217</v>
      </c>
    </row>
    <row r="12" spans="2:3" x14ac:dyDescent="0.25">
      <c r="B12" s="14" t="s">
        <v>19</v>
      </c>
      <c r="C12" s="12">
        <v>1537</v>
      </c>
    </row>
    <row r="13" spans="2:3" x14ac:dyDescent="0.25">
      <c r="B13" s="14" t="s">
        <v>316</v>
      </c>
      <c r="C13" s="12">
        <v>1754</v>
      </c>
    </row>
    <row r="16" spans="2:3" x14ac:dyDescent="0.25">
      <c r="B16" s="14" t="s">
        <v>320</v>
      </c>
    </row>
    <row r="18" spans="2:5" x14ac:dyDescent="0.25">
      <c r="B18" s="13" t="s">
        <v>16</v>
      </c>
      <c r="C18" t="s">
        <v>24</v>
      </c>
    </row>
    <row r="20" spans="2:5" x14ac:dyDescent="0.25">
      <c r="B20" s="13" t="s">
        <v>315</v>
      </c>
      <c r="C20" t="s">
        <v>321</v>
      </c>
    </row>
    <row r="21" spans="2:5" x14ac:dyDescent="0.25">
      <c r="B21" s="14" t="s">
        <v>22</v>
      </c>
      <c r="C21" s="16">
        <v>0</v>
      </c>
    </row>
    <row r="22" spans="2:5" x14ac:dyDescent="0.25">
      <c r="B22" s="14" t="s">
        <v>26</v>
      </c>
      <c r="C22" s="16">
        <v>0</v>
      </c>
    </row>
    <row r="23" spans="2:5" x14ac:dyDescent="0.25">
      <c r="B23" s="14" t="s">
        <v>18</v>
      </c>
      <c r="C23" s="16">
        <v>600</v>
      </c>
    </row>
    <row r="24" spans="2:5" x14ac:dyDescent="0.25">
      <c r="B24" s="14" t="s">
        <v>316</v>
      </c>
      <c r="C24" s="16">
        <v>600</v>
      </c>
      <c r="E24" s="17">
        <f>GETPIVOTDATA("EA Play Season Pass
Price",$B$20)</f>
        <v>600</v>
      </c>
    </row>
    <row r="27" spans="2:5" x14ac:dyDescent="0.25">
      <c r="B27" s="14" t="s">
        <v>322</v>
      </c>
    </row>
    <row r="29" spans="2:5" x14ac:dyDescent="0.25">
      <c r="B29" s="13" t="s">
        <v>16</v>
      </c>
      <c r="C29" t="s">
        <v>24</v>
      </c>
    </row>
    <row r="31" spans="2:5" x14ac:dyDescent="0.25">
      <c r="B31" s="13" t="s">
        <v>315</v>
      </c>
      <c r="C31" t="s">
        <v>323</v>
      </c>
    </row>
    <row r="32" spans="2:5" x14ac:dyDescent="0.25">
      <c r="B32" s="14" t="s">
        <v>22</v>
      </c>
      <c r="C32" s="12">
        <v>0</v>
      </c>
    </row>
    <row r="33" spans="2:5" x14ac:dyDescent="0.25">
      <c r="B33" s="14" t="s">
        <v>26</v>
      </c>
      <c r="C33" s="12">
        <v>540</v>
      </c>
    </row>
    <row r="34" spans="2:5" x14ac:dyDescent="0.25">
      <c r="B34" s="14" t="s">
        <v>18</v>
      </c>
      <c r="C34" s="12">
        <v>400</v>
      </c>
    </row>
    <row r="35" spans="2:5" x14ac:dyDescent="0.25">
      <c r="B35" s="14" t="s">
        <v>316</v>
      </c>
      <c r="C35" s="12">
        <v>940</v>
      </c>
      <c r="E35" s="17">
        <f>GETPIVOTDATA("Minecraft Season Pass Price",$B$31)</f>
        <v>940</v>
      </c>
    </row>
    <row r="36" spans="2:5" x14ac:dyDescent="0.25">
      <c r="E36" s="17"/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Q371"/>
  <sheetViews>
    <sheetView showGridLines="0" showRowColHeaders="0" tabSelected="1" zoomScaleNormal="100" workbookViewId="0">
      <selection activeCell="T15" sqref="T15"/>
    </sheetView>
  </sheetViews>
  <sheetFormatPr defaultRowHeight="15" x14ac:dyDescent="0.25"/>
  <cols>
    <col min="1" max="1" width="28.42578125" style="4" customWidth="1"/>
    <col min="2" max="2" width="3.5703125" customWidth="1"/>
    <col min="12" max="12" width="6.5703125" customWidth="1"/>
  </cols>
  <sheetData>
    <row r="2" spans="1:17" ht="26.25" customHeight="1" thickBot="1" x14ac:dyDescent="0.35">
      <c r="C2" s="18" t="s">
        <v>319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ht="10.5" customHeight="1" thickTop="1" x14ac:dyDescent="0.25"/>
    <row r="4" spans="1:17" s="7" customFormat="1" ht="8.25" customHeight="1" x14ac:dyDescent="0.25">
      <c r="A4" s="4"/>
    </row>
    <row r="5" spans="1:17" s="7" customFormat="1" ht="7.5" customHeight="1" x14ac:dyDescent="0.25">
      <c r="A5" s="4"/>
    </row>
    <row r="6" spans="1:17" s="7" customFormat="1" ht="10.5" customHeight="1" x14ac:dyDescent="0.25">
      <c r="A6" s="4"/>
    </row>
    <row r="7" spans="1:17" s="7" customFormat="1" ht="9.75" customHeight="1" x14ac:dyDescent="0.25">
      <c r="A7" s="4"/>
    </row>
    <row r="8" spans="1:17" s="7" customFormat="1" ht="33" customHeight="1" x14ac:dyDescent="0.25">
      <c r="A8" s="4"/>
    </row>
    <row r="9" spans="1:17" s="7" customFormat="1" x14ac:dyDescent="0.25">
      <c r="A9" s="4"/>
    </row>
    <row r="10" spans="1:17" s="7" customFormat="1" x14ac:dyDescent="0.25">
      <c r="A10" s="4"/>
    </row>
    <row r="11" spans="1:17" s="7" customFormat="1" x14ac:dyDescent="0.25">
      <c r="A11" s="4"/>
    </row>
    <row r="12" spans="1:17" s="7" customFormat="1" x14ac:dyDescent="0.25">
      <c r="A12" s="4"/>
    </row>
    <row r="13" spans="1:17" s="7" customFormat="1" x14ac:dyDescent="0.25">
      <c r="A13" s="4"/>
    </row>
    <row r="14" spans="1:17" s="7" customFormat="1" x14ac:dyDescent="0.25">
      <c r="A14" s="4"/>
    </row>
    <row r="15" spans="1:17" s="7" customFormat="1" x14ac:dyDescent="0.25">
      <c r="A15" s="4"/>
    </row>
    <row r="16" spans="1:17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  <row r="257" spans="1:1" s="7" customFormat="1" x14ac:dyDescent="0.25">
      <c r="A257" s="4"/>
    </row>
    <row r="258" spans="1:1" s="7" customFormat="1" x14ac:dyDescent="0.25">
      <c r="A258" s="4"/>
    </row>
    <row r="259" spans="1:1" s="7" customFormat="1" x14ac:dyDescent="0.25">
      <c r="A259" s="4"/>
    </row>
    <row r="260" spans="1:1" s="7" customFormat="1" x14ac:dyDescent="0.25">
      <c r="A260" s="4"/>
    </row>
    <row r="261" spans="1:1" s="7" customFormat="1" x14ac:dyDescent="0.25">
      <c r="A261" s="4"/>
    </row>
    <row r="262" spans="1:1" s="7" customFormat="1" x14ac:dyDescent="0.25">
      <c r="A262" s="4"/>
    </row>
    <row r="263" spans="1:1" s="7" customFormat="1" x14ac:dyDescent="0.25">
      <c r="A263" s="4"/>
    </row>
    <row r="264" spans="1:1" s="7" customFormat="1" x14ac:dyDescent="0.25">
      <c r="A264" s="4"/>
    </row>
    <row r="265" spans="1:1" s="7" customFormat="1" x14ac:dyDescent="0.25">
      <c r="A265" s="4"/>
    </row>
    <row r="266" spans="1:1" s="7" customFormat="1" x14ac:dyDescent="0.25">
      <c r="A266" s="4"/>
    </row>
    <row r="267" spans="1:1" s="7" customFormat="1" x14ac:dyDescent="0.25">
      <c r="A267" s="4"/>
    </row>
    <row r="268" spans="1:1" s="7" customFormat="1" x14ac:dyDescent="0.25">
      <c r="A268" s="4"/>
    </row>
    <row r="269" spans="1:1" s="7" customFormat="1" x14ac:dyDescent="0.25">
      <c r="A269" s="4"/>
    </row>
    <row r="270" spans="1:1" s="7" customFormat="1" x14ac:dyDescent="0.25">
      <c r="A270" s="4"/>
    </row>
    <row r="271" spans="1:1" s="7" customFormat="1" x14ac:dyDescent="0.25">
      <c r="A271" s="4"/>
    </row>
    <row r="272" spans="1:1" s="7" customFormat="1" x14ac:dyDescent="0.25">
      <c r="A272" s="4"/>
    </row>
    <row r="273" spans="1:1" s="7" customFormat="1" x14ac:dyDescent="0.25">
      <c r="A273" s="4"/>
    </row>
    <row r="274" spans="1:1" s="7" customFormat="1" x14ac:dyDescent="0.25">
      <c r="A274" s="4"/>
    </row>
    <row r="275" spans="1:1" s="7" customFormat="1" x14ac:dyDescent="0.25">
      <c r="A275" s="4"/>
    </row>
    <row r="276" spans="1:1" s="7" customFormat="1" x14ac:dyDescent="0.25">
      <c r="A276" s="4"/>
    </row>
    <row r="277" spans="1:1" s="7" customFormat="1" x14ac:dyDescent="0.25">
      <c r="A277" s="4"/>
    </row>
    <row r="278" spans="1:1" s="7" customFormat="1" x14ac:dyDescent="0.25">
      <c r="A278" s="4"/>
    </row>
    <row r="279" spans="1:1" s="7" customFormat="1" x14ac:dyDescent="0.25">
      <c r="A279" s="4"/>
    </row>
    <row r="280" spans="1:1" s="7" customFormat="1" x14ac:dyDescent="0.25">
      <c r="A280" s="4"/>
    </row>
    <row r="281" spans="1:1" s="7" customFormat="1" x14ac:dyDescent="0.25">
      <c r="A281" s="4"/>
    </row>
    <row r="282" spans="1:1" s="7" customFormat="1" x14ac:dyDescent="0.25">
      <c r="A282" s="4"/>
    </row>
    <row r="283" spans="1:1" s="7" customFormat="1" x14ac:dyDescent="0.25">
      <c r="A283" s="4"/>
    </row>
    <row r="284" spans="1:1" s="7" customFormat="1" x14ac:dyDescent="0.25">
      <c r="A284" s="4"/>
    </row>
    <row r="285" spans="1:1" s="7" customFormat="1" x14ac:dyDescent="0.25">
      <c r="A285" s="4"/>
    </row>
    <row r="286" spans="1:1" s="7" customFormat="1" x14ac:dyDescent="0.25">
      <c r="A286" s="4"/>
    </row>
    <row r="287" spans="1:1" s="7" customFormat="1" x14ac:dyDescent="0.25">
      <c r="A287" s="4"/>
    </row>
    <row r="288" spans="1:1" s="7" customFormat="1" x14ac:dyDescent="0.25">
      <c r="A288" s="4"/>
    </row>
    <row r="289" spans="1:1" s="7" customFormat="1" x14ac:dyDescent="0.25">
      <c r="A289" s="4"/>
    </row>
    <row r="290" spans="1:1" s="7" customFormat="1" x14ac:dyDescent="0.25">
      <c r="A290" s="4"/>
    </row>
    <row r="291" spans="1:1" s="7" customFormat="1" x14ac:dyDescent="0.25">
      <c r="A291" s="4"/>
    </row>
    <row r="292" spans="1:1" s="7" customFormat="1" x14ac:dyDescent="0.25">
      <c r="A292" s="4"/>
    </row>
    <row r="293" spans="1:1" s="7" customFormat="1" x14ac:dyDescent="0.25">
      <c r="A293" s="4"/>
    </row>
    <row r="294" spans="1:1" s="7" customFormat="1" x14ac:dyDescent="0.25">
      <c r="A294" s="4"/>
    </row>
    <row r="295" spans="1:1" s="7" customFormat="1" x14ac:dyDescent="0.25">
      <c r="A295" s="4"/>
    </row>
    <row r="296" spans="1:1" s="7" customFormat="1" x14ac:dyDescent="0.25">
      <c r="A296" s="4"/>
    </row>
    <row r="297" spans="1:1" s="7" customFormat="1" x14ac:dyDescent="0.25">
      <c r="A297" s="4"/>
    </row>
    <row r="298" spans="1:1" s="7" customFormat="1" x14ac:dyDescent="0.25">
      <c r="A298" s="4"/>
    </row>
    <row r="299" spans="1:1" s="7" customFormat="1" x14ac:dyDescent="0.25">
      <c r="A299" s="4"/>
    </row>
    <row r="300" spans="1:1" s="7" customFormat="1" x14ac:dyDescent="0.25">
      <c r="A300" s="4"/>
    </row>
    <row r="301" spans="1:1" s="7" customFormat="1" x14ac:dyDescent="0.25">
      <c r="A301" s="4"/>
    </row>
    <row r="302" spans="1:1" s="7" customFormat="1" x14ac:dyDescent="0.25">
      <c r="A302" s="4"/>
    </row>
    <row r="303" spans="1:1" s="7" customFormat="1" x14ac:dyDescent="0.25">
      <c r="A303" s="4"/>
    </row>
    <row r="304" spans="1:1" s="7" customFormat="1" x14ac:dyDescent="0.25">
      <c r="A304" s="4"/>
    </row>
    <row r="305" spans="1:1" s="7" customFormat="1" x14ac:dyDescent="0.25">
      <c r="A305" s="4"/>
    </row>
    <row r="306" spans="1:1" s="7" customFormat="1" x14ac:dyDescent="0.25">
      <c r="A306" s="4"/>
    </row>
    <row r="307" spans="1:1" s="7" customFormat="1" x14ac:dyDescent="0.25">
      <c r="A307" s="4"/>
    </row>
    <row r="308" spans="1:1" s="7" customFormat="1" x14ac:dyDescent="0.25">
      <c r="A308" s="4"/>
    </row>
    <row r="309" spans="1:1" s="7" customFormat="1" x14ac:dyDescent="0.25">
      <c r="A309" s="4"/>
    </row>
    <row r="310" spans="1:1" s="7" customFormat="1" x14ac:dyDescent="0.25">
      <c r="A310" s="4"/>
    </row>
    <row r="311" spans="1:1" s="7" customFormat="1" x14ac:dyDescent="0.25">
      <c r="A311" s="4"/>
    </row>
    <row r="312" spans="1:1" s="7" customFormat="1" x14ac:dyDescent="0.25">
      <c r="A312" s="4"/>
    </row>
    <row r="313" spans="1:1" s="7" customFormat="1" x14ac:dyDescent="0.25">
      <c r="A313" s="4"/>
    </row>
    <row r="314" spans="1:1" s="7" customFormat="1" x14ac:dyDescent="0.25">
      <c r="A314" s="4"/>
    </row>
    <row r="315" spans="1:1" s="7" customFormat="1" x14ac:dyDescent="0.25">
      <c r="A315" s="4"/>
    </row>
    <row r="316" spans="1:1" s="7" customFormat="1" x14ac:dyDescent="0.25">
      <c r="A316" s="4"/>
    </row>
    <row r="317" spans="1:1" s="7" customFormat="1" x14ac:dyDescent="0.25">
      <c r="A317" s="4"/>
    </row>
    <row r="318" spans="1:1" s="7" customFormat="1" x14ac:dyDescent="0.25">
      <c r="A318" s="4"/>
    </row>
    <row r="319" spans="1:1" s="7" customFormat="1" x14ac:dyDescent="0.25">
      <c r="A319" s="4"/>
    </row>
    <row r="320" spans="1:1" s="7" customFormat="1" x14ac:dyDescent="0.25">
      <c r="A320" s="4"/>
    </row>
    <row r="321" spans="1:1" s="7" customFormat="1" x14ac:dyDescent="0.25">
      <c r="A321" s="4"/>
    </row>
    <row r="322" spans="1:1" s="7" customFormat="1" x14ac:dyDescent="0.25">
      <c r="A322" s="4"/>
    </row>
    <row r="323" spans="1:1" s="7" customFormat="1" x14ac:dyDescent="0.25">
      <c r="A323" s="4"/>
    </row>
    <row r="324" spans="1:1" s="7" customFormat="1" x14ac:dyDescent="0.25">
      <c r="A324" s="4"/>
    </row>
    <row r="325" spans="1:1" s="7" customFormat="1" x14ac:dyDescent="0.25">
      <c r="A325" s="4"/>
    </row>
    <row r="326" spans="1:1" s="7" customFormat="1" x14ac:dyDescent="0.25">
      <c r="A326" s="4"/>
    </row>
    <row r="327" spans="1:1" s="7" customFormat="1" x14ac:dyDescent="0.25">
      <c r="A327" s="4"/>
    </row>
    <row r="328" spans="1:1" s="7" customFormat="1" x14ac:dyDescent="0.25">
      <c r="A328" s="4"/>
    </row>
    <row r="329" spans="1:1" s="7" customFormat="1" x14ac:dyDescent="0.25">
      <c r="A329" s="4"/>
    </row>
    <row r="330" spans="1:1" s="7" customFormat="1" x14ac:dyDescent="0.25">
      <c r="A330" s="4"/>
    </row>
    <row r="331" spans="1:1" s="7" customFormat="1" x14ac:dyDescent="0.25">
      <c r="A331" s="4"/>
    </row>
    <row r="332" spans="1:1" s="7" customFormat="1" x14ac:dyDescent="0.25">
      <c r="A332" s="4"/>
    </row>
    <row r="333" spans="1:1" s="7" customFormat="1" x14ac:dyDescent="0.25">
      <c r="A333" s="4"/>
    </row>
    <row r="334" spans="1:1" s="7" customFormat="1" x14ac:dyDescent="0.25">
      <c r="A334" s="4"/>
    </row>
    <row r="335" spans="1:1" s="7" customFormat="1" x14ac:dyDescent="0.25">
      <c r="A335" s="4"/>
    </row>
    <row r="336" spans="1:1" s="7" customFormat="1" x14ac:dyDescent="0.25">
      <c r="A336" s="4"/>
    </row>
    <row r="337" spans="1:1" s="7" customFormat="1" x14ac:dyDescent="0.25">
      <c r="A337" s="4"/>
    </row>
    <row r="338" spans="1:1" s="7" customFormat="1" x14ac:dyDescent="0.25">
      <c r="A338" s="4"/>
    </row>
    <row r="339" spans="1:1" s="7" customFormat="1" x14ac:dyDescent="0.25">
      <c r="A339" s="4"/>
    </row>
    <row r="340" spans="1:1" s="7" customFormat="1" x14ac:dyDescent="0.25">
      <c r="A340" s="4"/>
    </row>
    <row r="341" spans="1:1" s="7" customFormat="1" x14ac:dyDescent="0.25">
      <c r="A341" s="4"/>
    </row>
    <row r="342" spans="1:1" s="7" customFormat="1" x14ac:dyDescent="0.25">
      <c r="A342" s="4"/>
    </row>
    <row r="343" spans="1:1" s="7" customFormat="1" x14ac:dyDescent="0.25">
      <c r="A343" s="4"/>
    </row>
    <row r="344" spans="1:1" s="7" customFormat="1" x14ac:dyDescent="0.25">
      <c r="A344" s="4"/>
    </row>
    <row r="345" spans="1:1" s="7" customFormat="1" x14ac:dyDescent="0.25">
      <c r="A345" s="4"/>
    </row>
    <row r="346" spans="1:1" s="7" customFormat="1" x14ac:dyDescent="0.25">
      <c r="A346" s="4"/>
    </row>
    <row r="347" spans="1:1" s="7" customFormat="1" x14ac:dyDescent="0.25">
      <c r="A347" s="4"/>
    </row>
    <row r="348" spans="1:1" s="7" customFormat="1" x14ac:dyDescent="0.25">
      <c r="A348" s="4"/>
    </row>
    <row r="349" spans="1:1" s="7" customFormat="1" x14ac:dyDescent="0.25">
      <c r="A349" s="4"/>
    </row>
    <row r="350" spans="1:1" s="7" customFormat="1" x14ac:dyDescent="0.25">
      <c r="A350" s="4"/>
    </row>
    <row r="351" spans="1:1" s="7" customFormat="1" x14ac:dyDescent="0.25">
      <c r="A351" s="4"/>
    </row>
    <row r="352" spans="1:1" s="7" customFormat="1" x14ac:dyDescent="0.25">
      <c r="A352" s="4"/>
    </row>
    <row r="353" spans="1:1" s="7" customFormat="1" x14ac:dyDescent="0.25">
      <c r="A353" s="4"/>
    </row>
    <row r="354" spans="1:1" s="7" customFormat="1" x14ac:dyDescent="0.25">
      <c r="A354" s="4"/>
    </row>
    <row r="355" spans="1:1" s="7" customFormat="1" x14ac:dyDescent="0.25">
      <c r="A355" s="4"/>
    </row>
    <row r="356" spans="1:1" s="7" customFormat="1" x14ac:dyDescent="0.25">
      <c r="A356" s="4"/>
    </row>
    <row r="357" spans="1:1" s="7" customFormat="1" x14ac:dyDescent="0.25">
      <c r="A357" s="4"/>
    </row>
    <row r="358" spans="1:1" s="7" customFormat="1" x14ac:dyDescent="0.25">
      <c r="A358" s="4"/>
    </row>
    <row r="359" spans="1:1" s="7" customFormat="1" x14ac:dyDescent="0.25">
      <c r="A359" s="4"/>
    </row>
    <row r="360" spans="1:1" s="7" customFormat="1" x14ac:dyDescent="0.25">
      <c r="A360" s="4"/>
    </row>
    <row r="361" spans="1:1" s="7" customFormat="1" x14ac:dyDescent="0.25">
      <c r="A361" s="4"/>
    </row>
    <row r="362" spans="1:1" s="7" customFormat="1" x14ac:dyDescent="0.25">
      <c r="A362" s="4"/>
    </row>
    <row r="363" spans="1:1" s="7" customFormat="1" x14ac:dyDescent="0.25">
      <c r="A363" s="4"/>
    </row>
    <row r="364" spans="1:1" s="7" customFormat="1" x14ac:dyDescent="0.25">
      <c r="A364" s="4"/>
    </row>
    <row r="365" spans="1:1" s="7" customFormat="1" x14ac:dyDescent="0.25">
      <c r="A365" s="4"/>
    </row>
    <row r="366" spans="1:1" s="7" customFormat="1" x14ac:dyDescent="0.25">
      <c r="A366" s="4"/>
    </row>
    <row r="367" spans="1:1" s="7" customFormat="1" x14ac:dyDescent="0.25">
      <c r="A367" s="4"/>
    </row>
    <row r="368" spans="1:1" s="7" customFormat="1" x14ac:dyDescent="0.25">
      <c r="A368" s="4"/>
    </row>
    <row r="369" spans="1:1" s="7" customFormat="1" x14ac:dyDescent="0.25">
      <c r="A369" s="4"/>
    </row>
    <row r="370" spans="1:1" s="7" customFormat="1" x14ac:dyDescent="0.25">
      <c r="A370" s="4"/>
    </row>
    <row r="371" spans="1:1" s="7" customFormat="1" x14ac:dyDescent="0.25">
      <c r="A37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' Marcella Pitaluga.</cp:lastModifiedBy>
  <dcterms:created xsi:type="dcterms:W3CDTF">2024-12-19T13:13:10Z</dcterms:created>
  <dcterms:modified xsi:type="dcterms:W3CDTF">2026-02-10T22:09:16Z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